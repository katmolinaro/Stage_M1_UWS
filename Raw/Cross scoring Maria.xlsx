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espinimartim\Desktop\__PhD EPOG\Drafts\Methodology\Study 1_UW scale\"/>
    </mc:Choice>
  </mc:AlternateContent>
  <xr:revisionPtr revIDLastSave="0" documentId="13_ncr:1_{5EB6B0D5-29AB-42AE-BBEB-4D5CA0E79184}" xr6:coauthVersionLast="47" xr6:coauthVersionMax="47" xr10:uidLastSave="{00000000-0000-0000-0000-000000000000}"/>
  <bookViews>
    <workbookView xWindow="-110" yWindow="-110" windowWidth="19420" windowHeight="11500" xr2:uid="{A2E2B354-4CFC-4A8A-96B7-F1F306D34BE6}"/>
  </bookViews>
  <sheets>
    <sheet name="Cross-scoring" sheetId="9"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18" i="9" l="1"/>
  <c r="AF18" i="9" s="1"/>
  <c r="AB22" i="9"/>
  <c r="AF22" i="9" s="1"/>
  <c r="AA22" i="9"/>
  <c r="AE22" i="9" s="1"/>
  <c r="Z22" i="9"/>
  <c r="AB21" i="9"/>
  <c r="AF21" i="9" s="1"/>
  <c r="AA21" i="9"/>
  <c r="AE21" i="9" s="1"/>
  <c r="Z21" i="9"/>
  <c r="AB20" i="9"/>
  <c r="AF20" i="9" s="1"/>
  <c r="AA20" i="9"/>
  <c r="AE20" i="9" s="1"/>
  <c r="Z20" i="9"/>
  <c r="AB19" i="9"/>
  <c r="AF19" i="9" s="1"/>
  <c r="AA19" i="9"/>
  <c r="AE19" i="9" s="1"/>
  <c r="Z19" i="9"/>
  <c r="AA18" i="9"/>
  <c r="AE18" i="9" s="1"/>
  <c r="Z18" i="9"/>
  <c r="AB17" i="9"/>
  <c r="AF17" i="9" s="1"/>
  <c r="AA17" i="9"/>
  <c r="AE17" i="9" s="1"/>
  <c r="Z17" i="9"/>
  <c r="AB16" i="9"/>
  <c r="AF16" i="9" s="1"/>
  <c r="AA16" i="9"/>
  <c r="AE16" i="9" s="1"/>
  <c r="Z16" i="9"/>
  <c r="AB15" i="9"/>
  <c r="AF15" i="9" s="1"/>
  <c r="AA15" i="9"/>
  <c r="AE15" i="9" s="1"/>
  <c r="Z15" i="9"/>
  <c r="AB14" i="9"/>
  <c r="AF14" i="9" s="1"/>
  <c r="AA14" i="9"/>
  <c r="AE14" i="9" s="1"/>
  <c r="Z14" i="9"/>
  <c r="AB13" i="9"/>
  <c r="AF13" i="9" s="1"/>
  <c r="AA13" i="9"/>
  <c r="AE13" i="9" s="1"/>
  <c r="Z13" i="9"/>
  <c r="AB12" i="9"/>
  <c r="AF12" i="9" s="1"/>
  <c r="AA12" i="9"/>
  <c r="AE12" i="9" s="1"/>
  <c r="Z12" i="9"/>
  <c r="AB11" i="9"/>
  <c r="AF11" i="9" s="1"/>
  <c r="AA11" i="9"/>
  <c r="AE11" i="9" s="1"/>
  <c r="Z11" i="9"/>
  <c r="AB10" i="9"/>
  <c r="AF10" i="9" s="1"/>
  <c r="AA10" i="9"/>
  <c r="AE10" i="9" s="1"/>
  <c r="Z10" i="9"/>
  <c r="AB9" i="9"/>
  <c r="AF9" i="9" s="1"/>
  <c r="AA9" i="9"/>
  <c r="AE9" i="9" s="1"/>
  <c r="Z9" i="9"/>
  <c r="AB8" i="9"/>
  <c r="AF8" i="9" s="1"/>
  <c r="AA8" i="9"/>
  <c r="AE8" i="9" s="1"/>
  <c r="Z8" i="9"/>
  <c r="AB7" i="9"/>
  <c r="AF7" i="9" s="1"/>
  <c r="AA7" i="9"/>
  <c r="AE7" i="9" s="1"/>
  <c r="Z7" i="9"/>
  <c r="AB6" i="9"/>
  <c r="AF6" i="9" s="1"/>
  <c r="AA6" i="9"/>
  <c r="AE6" i="9" s="1"/>
  <c r="Z6" i="9"/>
  <c r="AB5" i="9"/>
  <c r="AF5" i="9" s="1"/>
  <c r="AA5" i="9"/>
  <c r="AE5" i="9" s="1"/>
  <c r="Z5" i="9"/>
  <c r="AB4" i="9"/>
  <c r="AF4" i="9" s="1"/>
  <c r="AA4" i="9"/>
  <c r="AE4" i="9" s="1"/>
  <c r="Z4" i="9"/>
  <c r="AB3" i="9"/>
  <c r="AF3" i="9" s="1"/>
  <c r="AA3" i="9"/>
  <c r="AE3" i="9" s="1"/>
  <c r="Z3" i="9"/>
  <c r="AD22" i="9" l="1"/>
  <c r="AG22" i="9" s="1"/>
  <c r="AC22" i="9"/>
  <c r="AD18" i="9"/>
  <c r="AG18" i="9" s="1"/>
  <c r="AC18" i="9"/>
  <c r="AD19" i="9"/>
  <c r="AG19" i="9" s="1"/>
  <c r="AC19" i="9"/>
  <c r="AD20" i="9"/>
  <c r="AG20" i="9" s="1"/>
  <c r="AC20" i="9"/>
  <c r="AD21" i="9"/>
  <c r="AG21" i="9" s="1"/>
  <c r="AC21" i="9"/>
  <c r="AD13" i="9"/>
  <c r="AG13" i="9" s="1"/>
  <c r="AC13" i="9"/>
  <c r="AD14" i="9"/>
  <c r="AG14" i="9" s="1"/>
  <c r="AC14" i="9"/>
  <c r="AD15" i="9"/>
  <c r="AG15" i="9" s="1"/>
  <c r="AC15" i="9"/>
  <c r="AD16" i="9"/>
  <c r="AG16" i="9" s="1"/>
  <c r="AC16" i="9"/>
  <c r="AD17" i="9"/>
  <c r="AG17" i="9" s="1"/>
  <c r="AC17" i="9"/>
  <c r="AD8" i="9"/>
  <c r="AG8" i="9" s="1"/>
  <c r="AC8" i="9"/>
  <c r="AD9" i="9"/>
  <c r="AG9" i="9" s="1"/>
  <c r="AC9" i="9"/>
  <c r="AD10" i="9"/>
  <c r="AG10" i="9" s="1"/>
  <c r="AC10" i="9"/>
  <c r="AD11" i="9"/>
  <c r="AG11" i="9" s="1"/>
  <c r="AC11" i="9"/>
  <c r="AD12" i="9"/>
  <c r="AG12" i="9" s="1"/>
  <c r="AC12" i="9"/>
  <c r="AD3" i="9"/>
  <c r="AG3" i="9" s="1"/>
  <c r="AC3" i="9"/>
  <c r="AD4" i="9"/>
  <c r="AG4" i="9" s="1"/>
  <c r="AC4" i="9"/>
  <c r="AD5" i="9"/>
  <c r="AG5" i="9" s="1"/>
  <c r="AC5" i="9"/>
  <c r="AD6" i="9"/>
  <c r="AG6" i="9" s="1"/>
  <c r="AC6" i="9"/>
  <c r="AD7" i="9"/>
  <c r="AG7" i="9" s="1"/>
  <c r="AC7" i="9"/>
</calcChain>
</file>

<file path=xl/sharedStrings.xml><?xml version="1.0" encoding="utf-8"?>
<sst xmlns="http://schemas.openxmlformats.org/spreadsheetml/2006/main" count="132" uniqueCount="99">
  <si>
    <r>
      <t>Structural complexity</t>
    </r>
    <r>
      <rPr>
        <sz val="12"/>
        <color theme="1"/>
        <rFont val="Aptos Display"/>
        <family val="2"/>
        <scheme val="major"/>
      </rPr>
      <t xml:space="preserve">
</t>
    </r>
    <r>
      <rPr>
        <u/>
        <sz val="12"/>
        <color theme="1"/>
        <rFont val="Aptos Display"/>
        <family val="2"/>
        <scheme val="major"/>
      </rPr>
      <t>presence: 1; absence: 0</t>
    </r>
  </si>
  <si>
    <t>Sites</t>
  </si>
  <si>
    <t>My subjective , first impresion scale (0-5)</t>
  </si>
  <si>
    <r>
      <rPr>
        <b/>
        <sz val="12"/>
        <color theme="1"/>
        <rFont val="Aptos Display"/>
        <family val="2"/>
        <scheme val="major"/>
      </rPr>
      <t>1. Seedlings</t>
    </r>
    <r>
      <rPr>
        <sz val="12"/>
        <color theme="1"/>
        <rFont val="Aptos Display"/>
        <family val="2"/>
        <scheme val="major"/>
      </rPr>
      <t>: Presence of clearly visible early life stages</t>
    </r>
  </si>
  <si>
    <r>
      <rPr>
        <b/>
        <sz val="12"/>
        <color theme="1"/>
        <rFont val="Aptos Display"/>
        <family val="2"/>
        <scheme val="major"/>
      </rPr>
      <t>2.</t>
    </r>
    <r>
      <rPr>
        <sz val="12"/>
        <color theme="1"/>
        <rFont val="Aptos Display"/>
        <family val="2"/>
        <scheme val="major"/>
      </rPr>
      <t xml:space="preserve"> </t>
    </r>
    <r>
      <rPr>
        <b/>
        <sz val="12"/>
        <color theme="1"/>
        <rFont val="Aptos Display"/>
        <family val="2"/>
        <scheme val="major"/>
      </rPr>
      <t>Reproduction stages</t>
    </r>
    <r>
      <rPr>
        <sz val="12"/>
        <color theme="1"/>
        <rFont val="Aptos Display"/>
        <family val="2"/>
        <scheme val="major"/>
      </rPr>
      <t>: Presence of reproduction stages (flowers and/or fruits).</t>
    </r>
  </si>
  <si>
    <r>
      <rPr>
        <b/>
        <sz val="12"/>
        <color theme="1"/>
        <rFont val="Aptos Display"/>
        <family val="2"/>
        <scheme val="major"/>
      </rPr>
      <t>3. Dead stages</t>
    </r>
    <r>
      <rPr>
        <sz val="12"/>
        <color theme="1"/>
        <rFont val="Aptos Display"/>
        <family val="2"/>
        <scheme val="major"/>
      </rPr>
      <t xml:space="preserve">: Presence of dead branches, stems or flowers in any of the three strata. </t>
    </r>
  </si>
  <si>
    <r>
      <rPr>
        <b/>
        <sz val="12"/>
        <color theme="1"/>
        <rFont val="Aptos Display"/>
        <family val="2"/>
        <scheme val="major"/>
      </rPr>
      <t>4.</t>
    </r>
    <r>
      <rPr>
        <sz val="12"/>
        <color theme="1"/>
        <rFont val="Aptos Display"/>
        <family val="2"/>
        <scheme val="major"/>
      </rPr>
      <t xml:space="preserve"> </t>
    </r>
    <r>
      <rPr>
        <b/>
        <sz val="12"/>
        <color theme="1"/>
        <rFont val="Aptos Display"/>
        <family val="2"/>
        <scheme val="major"/>
      </rPr>
      <t>Decomposition</t>
    </r>
    <r>
      <rPr>
        <sz val="12"/>
        <color theme="1"/>
        <rFont val="Aptos Display"/>
        <family val="2"/>
        <scheme val="major"/>
      </rPr>
      <t>: Presence of   decomposing parts in the ground, clearly visible (leaves, branches, trunks etc.)</t>
    </r>
  </si>
  <si>
    <r>
      <rPr>
        <b/>
        <sz val="12"/>
        <color theme="1"/>
        <rFont val="Aptos Display"/>
        <family val="2"/>
        <scheme val="major"/>
      </rPr>
      <t>5. Different strata</t>
    </r>
    <r>
      <rPr>
        <sz val="12"/>
        <color theme="1"/>
        <rFont val="Aptos Display"/>
        <family val="2"/>
        <scheme val="major"/>
      </rPr>
      <t>: Herbaceous, shrub, tree, lianas. At least 2.</t>
    </r>
  </si>
  <si>
    <r>
      <rPr>
        <b/>
        <sz val="12"/>
        <color theme="1"/>
        <rFont val="Aptos Display"/>
        <family val="2"/>
        <scheme val="major"/>
      </rPr>
      <t>6.</t>
    </r>
    <r>
      <rPr>
        <sz val="12"/>
        <color theme="1"/>
        <rFont val="Aptos Display"/>
        <family val="2"/>
        <scheme val="major"/>
      </rPr>
      <t xml:space="preserve"> </t>
    </r>
    <r>
      <rPr>
        <b/>
        <sz val="12"/>
        <color theme="1"/>
        <rFont val="Aptos Display"/>
        <family val="2"/>
        <scheme val="major"/>
      </rPr>
      <t>Colours of flowers</t>
    </r>
    <r>
      <rPr>
        <sz val="12"/>
        <color theme="1"/>
        <rFont val="Aptos Display"/>
        <family val="2"/>
        <scheme val="major"/>
      </rPr>
      <t>: Presence of different colours of flowers. At least 2.</t>
    </r>
  </si>
  <si>
    <r>
      <rPr>
        <b/>
        <sz val="12"/>
        <color theme="1"/>
        <rFont val="Aptos Display"/>
        <family val="2"/>
        <scheme val="major"/>
      </rPr>
      <t>1. Irregular topography</t>
    </r>
    <r>
      <rPr>
        <sz val="12"/>
        <color theme="1"/>
        <rFont val="Aptos Display"/>
        <family val="2"/>
        <scheme val="major"/>
      </rPr>
      <t>: Clearly visible uneven terrain.</t>
    </r>
  </si>
  <si>
    <r>
      <rPr>
        <b/>
        <sz val="12"/>
        <rFont val="Aptos Display"/>
        <family val="2"/>
        <scheme val="major"/>
      </rPr>
      <t>5. Overall perception of complexity, disorder, chaos, mystery</t>
    </r>
    <r>
      <rPr>
        <sz val="12"/>
        <rFont val="Aptos Display"/>
        <family val="2"/>
        <scheme val="major"/>
      </rPr>
      <t xml:space="preserve"> (hidden views, impression of many layers): Referring to the first impression of the site. </t>
    </r>
  </si>
  <si>
    <t>Complexity - cumulative</t>
  </si>
  <si>
    <t>Spatial - cumulative</t>
  </si>
  <si>
    <t>Management - cumulative</t>
  </si>
  <si>
    <t>Total wildness - cumulative</t>
  </si>
  <si>
    <t>Complexity</t>
  </si>
  <si>
    <t>Spatial</t>
  </si>
  <si>
    <t>Management</t>
  </si>
  <si>
    <t>Total wildness</t>
  </si>
  <si>
    <t>Issues encountered</t>
  </si>
  <si>
    <r>
      <t xml:space="preserve">Spatial configuration /landscape features
</t>
    </r>
    <r>
      <rPr>
        <u/>
        <sz val="12"/>
        <color theme="1"/>
        <rFont val="Aptos Display"/>
        <family val="2"/>
        <scheme val="major"/>
      </rPr>
      <t>presence: 1; absence: 0</t>
    </r>
  </si>
  <si>
    <r>
      <t xml:space="preserve">Clues of anthropic intervention 
</t>
    </r>
    <r>
      <rPr>
        <u/>
        <sz val="11"/>
        <color theme="1"/>
        <rFont val="Aptos Display"/>
        <family val="2"/>
        <scheme val="major"/>
      </rPr>
      <t>*presence: 0; absence: 1</t>
    </r>
  </si>
  <si>
    <t xml:space="preserve">Arrondissement </t>
  </si>
  <si>
    <t>Coordonées</t>
  </si>
  <si>
    <t>Private areas</t>
  </si>
  <si>
    <t>0 = grey ; 1 = vegetation spontannée - non intentionel ; 2 = vegetated areas</t>
  </si>
  <si>
    <t>Side</t>
  </si>
  <si>
    <t>Date</t>
  </si>
  <si>
    <t>Comments</t>
  </si>
  <si>
    <t>Ivry</t>
  </si>
  <si>
    <t>Even</t>
  </si>
  <si>
    <t>August 2022</t>
  </si>
  <si>
    <t>October 2025</t>
  </si>
  <si>
    <t>Odd</t>
  </si>
  <si>
    <t>48.81353, 2.40827</t>
  </si>
  <si>
    <t>/</t>
  </si>
  <si>
    <t>fun fact : there are many wild Ailanthus altissima ( a tree considered as invasive in France)</t>
  </si>
  <si>
    <t>July 2025</t>
  </si>
  <si>
    <t>March 2023</t>
  </si>
  <si>
    <t>48.80892, 2.37373</t>
  </si>
  <si>
    <t>48.82075, 2.39542</t>
  </si>
  <si>
    <t>Seine</t>
  </si>
  <si>
    <t>October 2024</t>
  </si>
  <si>
    <t>On each side, a vegetated area, but one is taken care of and not really the other (seine)</t>
  </si>
  <si>
    <t>48.8112, 2.38404</t>
  </si>
  <si>
    <t>48.80982, 2.38741</t>
  </si>
  <si>
    <t>19e</t>
  </si>
  <si>
    <t>(Even)</t>
  </si>
  <si>
    <t>(Odd)</t>
  </si>
  <si>
    <t>48.87647, 2.38708</t>
  </si>
  <si>
    <t>48.87811, 2.38777</t>
  </si>
  <si>
    <t>48.88383, 2.39478</t>
  </si>
  <si>
    <t>48.90077, 2.38712</t>
  </si>
  <si>
    <t xml:space="preserve">Area under construction, looks abandoned , very accidented ground </t>
  </si>
  <si>
    <t>48.88886, 2.36774</t>
  </si>
  <si>
    <t>Neuilly</t>
  </si>
  <si>
    <t>48.88781, 2.26185</t>
  </si>
  <si>
    <t>June 2014</t>
  </si>
  <si>
    <t>48.89029, 2.26096</t>
  </si>
  <si>
    <t>July 2024</t>
  </si>
  <si>
    <t>48.89634, 2.27307</t>
  </si>
  <si>
    <t>April 2023</t>
  </si>
  <si>
    <t>48.88411, 2.25753</t>
  </si>
  <si>
    <t>November 2024</t>
  </si>
  <si>
    <t>May 2022</t>
  </si>
  <si>
    <t>48.88379, 2.27168</t>
  </si>
  <si>
    <t>7e</t>
  </si>
  <si>
    <t>April 2024</t>
  </si>
  <si>
    <t>48.85041, 2.31423</t>
  </si>
  <si>
    <t>Vegetated areas but also a lot of spontaneous vegetation ! So there are the advantages of spontaneous vegetation as well, like saying unplanted species</t>
  </si>
  <si>
    <t>June 2022</t>
  </si>
  <si>
    <t>48.858, 2.3199</t>
  </si>
  <si>
    <t>September 2025</t>
  </si>
  <si>
    <t>48.86135, 2.32022</t>
  </si>
  <si>
    <t>48.85511, 2.296</t>
  </si>
  <si>
    <t>48.85626, 2.29503</t>
  </si>
  <si>
    <r>
      <rPr>
        <b/>
        <sz val="12"/>
        <color theme="1"/>
        <rFont val="Aptos Display"/>
        <family val="2"/>
        <scheme val="major"/>
      </rPr>
      <t>4. Planting interventions</t>
    </r>
    <r>
      <rPr>
        <sz val="12"/>
        <color theme="1"/>
        <rFont val="Aptos Display"/>
        <family val="2"/>
        <scheme val="major"/>
      </rPr>
      <t xml:space="preserve">: Clearly recognisable planted species (such as cactus, bamboos, any obvious horticultural plant), considering clues from surrounding context when in doubt on type of plants (horticultural or spontaneous). </t>
    </r>
    <r>
      <rPr>
        <b/>
        <sz val="12"/>
        <color theme="1"/>
        <rFont val="Aptos Display"/>
        <family val="2"/>
        <scheme val="major"/>
      </rPr>
      <t>Excluding trees</t>
    </r>
    <r>
      <rPr>
        <sz val="12"/>
        <color theme="1"/>
        <rFont val="Aptos Display"/>
        <family val="2"/>
        <scheme val="major"/>
      </rPr>
      <t xml:space="preserve"> (the main tree in the tree pit). Presence of imported soil or flower containers etc. (permi végétaliser etc.) is not sufficient to score 0. (0: evidence of planting; 1: absence of planting = spontaneous vegetation)</t>
    </r>
  </si>
  <si>
    <r>
      <rPr>
        <b/>
        <sz val="12"/>
        <color theme="1"/>
        <rFont val="Aptos Display"/>
        <family val="2"/>
        <scheme val="major"/>
      </rPr>
      <t>2. Signs of pruning</t>
    </r>
    <r>
      <rPr>
        <sz val="12"/>
        <color theme="1"/>
        <rFont val="Aptos Display"/>
        <family val="2"/>
        <scheme val="major"/>
      </rPr>
      <t xml:space="preserve">: Such as trimmed forms of shrubs, evenly cut lawns, </t>
    </r>
    <r>
      <rPr>
        <sz val="12"/>
        <rFont val="Aptos Display"/>
        <family val="2"/>
        <scheme val="major"/>
      </rPr>
      <t>weeding</t>
    </r>
    <r>
      <rPr>
        <sz val="12"/>
        <color theme="1"/>
        <rFont val="Aptos Display"/>
        <family val="2"/>
        <scheme val="major"/>
      </rPr>
      <t>, from a general perspective. 
 (0: evidence of pruning; 1: no evidence)</t>
    </r>
  </si>
  <si>
    <r>
      <rPr>
        <b/>
        <sz val="12"/>
        <rFont val="Aptos Display"/>
        <family val="2"/>
        <scheme val="major"/>
      </rPr>
      <t>5. Litter:</t>
    </r>
    <r>
      <rPr>
        <sz val="12"/>
        <rFont val="Aptos Display"/>
        <family val="2"/>
        <scheme val="major"/>
      </rPr>
      <t xml:space="preserve"> Presence of litter. Recognisable from regular visual perspective. (0 =  litter, 1 = no litter)</t>
    </r>
  </si>
  <si>
    <t>Not sure about the signs of pruning. I guess there is weeding in the tree pits</t>
  </si>
  <si>
    <t>"Quantity" : 0 = very few plants or many very little plant ; 1 = medium or large number / size of plants</t>
  </si>
  <si>
    <t>Irregularity in spatial distribution, 0 because of the regularity of tree pits?</t>
  </si>
  <si>
    <t>Doubt: if there is this middle flower bed in the street, it counts also in the scoring?  So, for both cases (even and odd)?  I don't consider it, so count 0 for the whole axe 3</t>
  </si>
  <si>
    <t>Considering the tramway flowerbed in the middle? (The same as before I don't consider it)</t>
  </si>
  <si>
    <t>Not clear where to apply it since it is an intersection
The vegetated triangle area in the metro has a high structural complexity but it is different when looking at the average of the street . Apply the structural complexity in the whole?</t>
  </si>
  <si>
    <t>the odd side section has no trees; difficulties to access with the streetview</t>
  </si>
  <si>
    <t>I assessed the even, but the odd side looks wilder? Need to clarify better what does "irregularity in spatial distribution" means</t>
  </si>
  <si>
    <t xml:space="preserve">Meaning of /? I assessed the side with the vegetated area </t>
  </si>
  <si>
    <t>Not sure if assessing also the vegetated area of the church behund the fence since it is not private either (talk about the geographic limits of the assessment). I only consider the sidewalk here.
Set a choice when assessing Irregularity in spatial distribution when there is only minimal spontaneous plant growth in the joints</t>
  </si>
  <si>
    <t xml:space="preserve">Not clear where to assess when it is an intersection. </t>
  </si>
  <si>
    <r>
      <rPr>
        <b/>
        <sz val="12"/>
        <color rgb="FFFF0000"/>
        <rFont val="Aptos Display"/>
        <family val="2"/>
        <scheme val="major"/>
      </rPr>
      <t>2. Irregularity in spatial distribution</t>
    </r>
    <r>
      <rPr>
        <sz val="12"/>
        <color rgb="FFFF0000"/>
        <rFont val="Aptos Display"/>
        <family val="2"/>
        <scheme val="major"/>
      </rPr>
      <t>: Lack of clearly identifiable geometrical patterns and designed shapes.  (The lack of patterns counts 1.)</t>
    </r>
  </si>
  <si>
    <r>
      <rPr>
        <b/>
        <sz val="12"/>
        <color rgb="FFFF0000"/>
        <rFont val="Aptos Display"/>
        <family val="2"/>
        <scheme val="major"/>
      </rPr>
      <t>3.</t>
    </r>
    <r>
      <rPr>
        <sz val="12"/>
        <color rgb="FFFF0000"/>
        <rFont val="Aptos Display"/>
        <family val="2"/>
        <scheme val="major"/>
      </rPr>
      <t xml:space="preserve"> </t>
    </r>
    <r>
      <rPr>
        <b/>
        <sz val="12"/>
        <color rgb="FFFF0000"/>
        <rFont val="Aptos Display"/>
        <family val="2"/>
        <scheme val="major"/>
      </rPr>
      <t>Margins and edges</t>
    </r>
    <r>
      <rPr>
        <sz val="12"/>
        <color rgb="FFFF0000"/>
        <rFont val="Aptos Display"/>
        <family val="2"/>
        <scheme val="major"/>
      </rPr>
      <t xml:space="preserve">: Growth exceeds the geometry of the predefined and designed margins, including the whole plant with roots growing outside, as well as branches, stems, and leaves growing beyond the established boundaries. </t>
    </r>
  </si>
  <si>
    <r>
      <rPr>
        <b/>
        <sz val="12"/>
        <color rgb="FFFF0000"/>
        <rFont val="Aptos Display"/>
        <family val="2"/>
        <scheme val="major"/>
      </rPr>
      <t>4. Overgrown built artifacts</t>
    </r>
    <r>
      <rPr>
        <sz val="12"/>
        <color rgb="FFFF0000"/>
        <rFont val="Aptos Display"/>
        <family val="2"/>
        <scheme val="major"/>
      </rPr>
      <t>: Overgrown constructions and /or with signs of abandonment, such as ruins, walls. The predesigned limits of the site do not count as built artifacts.</t>
    </r>
  </si>
  <si>
    <r>
      <rPr>
        <b/>
        <sz val="12"/>
        <color rgb="FFFF0000"/>
        <rFont val="Aptos Display"/>
        <family val="2"/>
        <scheme val="major"/>
      </rPr>
      <t>1. Materials or structures limiting free growth in the soil</t>
    </r>
    <r>
      <rPr>
        <sz val="12"/>
        <color rgb="FFFF0000"/>
        <rFont val="Aptos Display"/>
        <family val="2"/>
        <scheme val="major"/>
      </rPr>
      <t xml:space="preserve">: Presence of types of soil cover or structures preventing spontaneous plant growth (cement, mulch, metal grids etc.) </t>
    </r>
    <r>
      <rPr>
        <b/>
        <sz val="12"/>
        <color rgb="FFFF0000"/>
        <rFont val="Aptos Display"/>
        <family val="2"/>
        <scheme val="major"/>
      </rPr>
      <t>inside the planned</t>
    </r>
    <r>
      <rPr>
        <sz val="12"/>
        <color rgb="FFFF0000"/>
        <rFont val="Aptos Display"/>
        <family val="2"/>
        <scheme val="major"/>
      </rPr>
      <t xml:space="preserve"> </t>
    </r>
    <r>
      <rPr>
        <b/>
        <sz val="12"/>
        <color rgb="FFFF0000"/>
        <rFont val="Aptos Display"/>
        <family val="2"/>
        <scheme val="major"/>
      </rPr>
      <t>vegetated</t>
    </r>
    <r>
      <rPr>
        <sz val="12"/>
        <color rgb="FFFF0000"/>
        <rFont val="Aptos Display"/>
        <family val="2"/>
        <scheme val="major"/>
      </rPr>
      <t xml:space="preserve"> </t>
    </r>
    <r>
      <rPr>
        <b/>
        <sz val="12"/>
        <color rgb="FFFF0000"/>
        <rFont val="Aptos Display"/>
        <family val="2"/>
        <scheme val="major"/>
      </rPr>
      <t>area</t>
    </r>
    <r>
      <rPr>
        <sz val="12"/>
        <color rgb="FFFF0000"/>
        <rFont val="Aptos Display"/>
        <family val="2"/>
        <scheme val="major"/>
      </rPr>
      <t xml:space="preserve">; or when there is no planned vegetated area, just concrete on the sidewalk (as if the whole street limits free growth). Overall perception of the intention of the site (average on site)(0 : presence of structures; 1 absence). </t>
    </r>
  </si>
  <si>
    <r>
      <rPr>
        <b/>
        <sz val="12"/>
        <color rgb="FFFF0000"/>
        <rFont val="Aptos Display"/>
        <family val="2"/>
        <scheme val="major"/>
      </rPr>
      <t>3. Elements and structures</t>
    </r>
    <r>
      <rPr>
        <sz val="12"/>
        <color rgb="FFFF0000"/>
        <rFont val="Aptos Display"/>
        <family val="2"/>
        <scheme val="major"/>
      </rPr>
      <t>: Presence of signs, fences, bounding lines and margins, planting containers/boxes, structures to protect trees, grids, trash cans, lights, sport facilities, benches etc. In the vegetated area. 
(0 = presence of sturctures; 1 = absence of structures)</t>
    </r>
  </si>
  <si>
    <t>when margins are not clear factors 3 and 4 in axe two seem to mix. 1 in factor 4 as considering a level 2 of overgrown vegetation?</t>
  </si>
  <si>
    <t>axe 2. here factor 4 for the wall and as a level 2 of overgrown vegetation?</t>
  </si>
  <si>
    <t>Here 1 in factor 4 for the overgrown stairs and low wall</t>
  </si>
  <si>
    <r>
      <rPr>
        <b/>
        <u/>
        <sz val="12"/>
        <color rgb="FFFF0000"/>
        <rFont val="Aptos Narrow"/>
        <family val="2"/>
        <scheme val="minor"/>
      </rPr>
      <t>General issues</t>
    </r>
    <r>
      <rPr>
        <b/>
        <sz val="12"/>
        <color rgb="FFFF0000"/>
        <rFont val="Aptos Narrow"/>
        <family val="2"/>
        <scheme val="minor"/>
      </rPr>
      <t xml:space="preserve">
- Need to clarify the factors when there is no planned vegetated area and only spontaneous minimal growth (for example the edge wall-pavement) in a completely sealed street. For example, count 0 for the whole axe 3 (anthropic intervention). In the axe 2 (landscape features), count only 1 in growth exceeding margins (factor 3) (consider here also cracks and joints)? 
- clarify the difference between  axe 2, factors 3 and 4 for the cases where there is no vegetated area and only minimal spontaneous growth in the edges and cracks of a sealed section. Consider factor 3 also for minimal spontaneous growth within cracks and joints even if there is no planned vegetated area. Consider factor 4 only when there is strong plant overgrowth in other constructions. Like a level 2 of growth exceeding margins
- So when there is only this minimal growth, it does not make much sense to assess the factors of the anthropic intervention (signs of pruning, trash...) in relation to wildness. Also, the factor of litter is confusing in cases of only very minimal spontaneous plant growth in a completely sealed street. If  there is no litter, it has a lot of weight, while I don't think in this case the lack of trash contributes to a perception of more wildness. 
- also some overlapping between factor 1 and 3 in axe 3., for example in the presence of grids limiting free growth
- irregularity in spatial distribution, clarify. irregularity inside the tree pit or the whole?
- </t>
    </r>
    <r>
      <rPr>
        <b/>
        <u/>
        <sz val="12"/>
        <color rgb="FFFF0000"/>
        <rFont val="Aptos Narrow"/>
        <family val="2"/>
        <scheme val="minor"/>
      </rPr>
      <t>spatial limits of the assessment:</t>
    </r>
    <r>
      <rPr>
        <b/>
        <sz val="12"/>
        <color rgb="FFFF0000"/>
        <rFont val="Aptos Narrow"/>
        <family val="2"/>
        <scheme val="minor"/>
      </rPr>
      <t xml:space="preserve">
- presence of flower beds in the middle of the street count also, like tramway? (imagine taking the half?) I did not consider them 
- when points fall into a crossing or very close, it is also not clear where to apply the scale. Maybe that could be also filtered when setting the points (although for next time...)
- also clarify when assessing a sidewalk which is part of a square (example of the point in the 1 Pl. Président Mithouard. Clarify the spatial limits of the assessment, also in the intersections)
- / in the streetside means that it is an intersection?
- also clarify when doing the change of the date in streetview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</si>
</sst>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b/>
      <sz val="11"/>
      <color theme="1"/>
      <name val="Aptos Narrow"/>
      <family val="2"/>
      <scheme val="minor"/>
    </font>
    <font>
      <sz val="11"/>
      <name val="Aptos Narrow"/>
      <family val="2"/>
      <scheme val="minor"/>
    </font>
    <font>
      <sz val="9"/>
      <color theme="1"/>
      <name val="Aptos Display"/>
      <family val="2"/>
      <scheme val="major"/>
    </font>
    <font>
      <sz val="9"/>
      <color rgb="FFFF0000"/>
      <name val="Aptos Display"/>
      <family val="2"/>
      <scheme val="major"/>
    </font>
    <font>
      <sz val="12"/>
      <color theme="1"/>
      <name val="Aptos Narrow"/>
      <family val="2"/>
      <scheme val="minor"/>
    </font>
    <font>
      <b/>
      <sz val="12"/>
      <color theme="1"/>
      <name val="Aptos Narrow"/>
      <family val="2"/>
      <scheme val="minor"/>
    </font>
    <font>
      <b/>
      <sz val="12"/>
      <color theme="1"/>
      <name val="Aptos Display"/>
      <family val="2"/>
      <scheme val="major"/>
    </font>
    <font>
      <sz val="12"/>
      <color theme="1"/>
      <name val="Aptos Display"/>
      <family val="2"/>
      <scheme val="major"/>
    </font>
    <font>
      <sz val="12"/>
      <name val="Aptos Display"/>
      <family val="2"/>
      <scheme val="major"/>
    </font>
    <font>
      <b/>
      <sz val="12"/>
      <name val="Aptos Display"/>
      <family val="2"/>
      <scheme val="major"/>
    </font>
    <font>
      <b/>
      <sz val="12"/>
      <color theme="1"/>
      <name val="Aptos Display"/>
      <scheme val="major"/>
    </font>
    <font>
      <b/>
      <sz val="11"/>
      <color theme="1"/>
      <name val="Aptos Display"/>
      <family val="2"/>
      <scheme val="major"/>
    </font>
    <font>
      <u/>
      <sz val="11"/>
      <color theme="1"/>
      <name val="Aptos Display"/>
      <family val="2"/>
      <scheme val="major"/>
    </font>
    <font>
      <u/>
      <sz val="12"/>
      <color theme="1"/>
      <name val="Aptos Display"/>
      <family val="2"/>
      <scheme val="major"/>
    </font>
    <font>
      <sz val="11"/>
      <color rgb="FFFF0000"/>
      <name val="Aptos Narrow"/>
      <family val="2"/>
      <scheme val="minor"/>
    </font>
    <font>
      <b/>
      <sz val="12"/>
      <color rgb="FFFF0000"/>
      <name val="Aptos Narrow"/>
      <family val="2"/>
      <scheme val="minor"/>
    </font>
    <font>
      <sz val="12"/>
      <color rgb="FFFF0000"/>
      <name val="Aptos Display"/>
      <family val="2"/>
      <scheme val="major"/>
    </font>
    <font>
      <b/>
      <sz val="12"/>
      <color rgb="FFFF0000"/>
      <name val="Aptos Display"/>
      <family val="2"/>
      <scheme val="major"/>
    </font>
    <font>
      <b/>
      <u/>
      <sz val="12"/>
      <color rgb="FFFF0000"/>
      <name val="Aptos Narrow"/>
      <family val="2"/>
      <scheme val="minor"/>
    </font>
  </fonts>
  <fills count="5">
    <fill>
      <patternFill patternType="none"/>
    </fill>
    <fill>
      <patternFill patternType="gray125"/>
    </fill>
    <fill>
      <patternFill patternType="solid">
        <fgColor rgb="FF6699FF"/>
        <bgColor indexed="64"/>
      </patternFill>
    </fill>
    <fill>
      <patternFill patternType="solid">
        <fgColor rgb="FF669900"/>
        <bgColor indexed="64"/>
      </patternFill>
    </fill>
    <fill>
      <patternFill patternType="solid">
        <fgColor rgb="FFCCCC00"/>
        <bgColor indexed="64"/>
      </patternFill>
    </fill>
  </fills>
  <borders count="4">
    <border>
      <left/>
      <right/>
      <top/>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s>
  <cellStyleXfs count="1">
    <xf numFmtId="0" fontId="0" fillId="0" borderId="0"/>
  </cellStyleXfs>
  <cellXfs count="35">
    <xf numFmtId="0" fontId="0" fillId="0" borderId="0" xfId="0"/>
    <xf numFmtId="0" fontId="0" fillId="0" borderId="0" xfId="0" applyAlignment="1">
      <alignment vertical="center"/>
    </xf>
    <xf numFmtId="0" fontId="2" fillId="0" borderId="0" xfId="0" applyFont="1" applyAlignment="1">
      <alignment vertical="center"/>
    </xf>
    <xf numFmtId="0" fontId="1" fillId="0" borderId="0" xfId="0" applyFont="1" applyAlignment="1">
      <alignment vertical="center"/>
    </xf>
    <xf numFmtId="0" fontId="3" fillId="0" borderId="0" xfId="0" applyFont="1" applyAlignment="1">
      <alignment vertical="center" wrapText="1"/>
    </xf>
    <xf numFmtId="0" fontId="4" fillId="0" borderId="0" xfId="0" applyFont="1" applyAlignment="1">
      <alignment vertical="center" wrapText="1"/>
    </xf>
    <xf numFmtId="0" fontId="5" fillId="0" borderId="0" xfId="0" applyFont="1" applyAlignment="1">
      <alignment vertical="top"/>
    </xf>
    <xf numFmtId="0" fontId="6" fillId="0" borderId="0" xfId="0" applyFont="1" applyAlignment="1">
      <alignment vertical="top"/>
    </xf>
    <xf numFmtId="0" fontId="7" fillId="0" borderId="1" xfId="0" applyFont="1" applyBorder="1" applyAlignment="1">
      <alignment vertical="top" wrapText="1"/>
    </xf>
    <xf numFmtId="0" fontId="8" fillId="2" borderId="1" xfId="0" applyFont="1" applyFill="1" applyBorder="1" applyAlignment="1">
      <alignment vertical="top" wrapText="1"/>
    </xf>
    <xf numFmtId="0" fontId="8" fillId="3" borderId="1" xfId="0" applyFont="1" applyFill="1" applyBorder="1" applyAlignment="1">
      <alignment vertical="top" wrapText="1"/>
    </xf>
    <xf numFmtId="0" fontId="8" fillId="4" borderId="1" xfId="0" applyFont="1" applyFill="1" applyBorder="1" applyAlignment="1">
      <alignment vertical="top" wrapText="1"/>
    </xf>
    <xf numFmtId="0" fontId="9" fillId="0" borderId="1" xfId="0" applyFont="1" applyBorder="1" applyAlignment="1">
      <alignment vertical="top" wrapText="1"/>
    </xf>
    <xf numFmtId="0" fontId="8" fillId="0" borderId="2" xfId="0" applyFont="1" applyBorder="1" applyAlignment="1">
      <alignment vertical="top" wrapText="1"/>
    </xf>
    <xf numFmtId="0" fontId="9" fillId="0" borderId="2" xfId="0" applyFont="1" applyBorder="1" applyAlignment="1">
      <alignment vertical="top" wrapText="1"/>
    </xf>
    <xf numFmtId="0" fontId="11" fillId="0" borderId="2" xfId="0" applyFont="1" applyBorder="1" applyAlignment="1">
      <alignment vertical="top" wrapText="1"/>
    </xf>
    <xf numFmtId="0" fontId="12" fillId="0" borderId="0" xfId="0" applyFont="1" applyAlignment="1">
      <alignment vertical="center" wrapText="1"/>
    </xf>
    <xf numFmtId="0" fontId="7" fillId="0" borderId="2" xfId="0" applyFont="1" applyBorder="1" applyAlignment="1">
      <alignment vertical="top" wrapText="1"/>
    </xf>
    <xf numFmtId="0" fontId="1" fillId="0" borderId="0" xfId="0" applyFont="1" applyAlignment="1">
      <alignment horizontal="center" vertical="center"/>
    </xf>
    <xf numFmtId="0" fontId="7" fillId="0" borderId="2" xfId="0" applyFont="1" applyBorder="1" applyAlignment="1">
      <alignment horizontal="center" vertical="top" wrapText="1"/>
    </xf>
    <xf numFmtId="0" fontId="6" fillId="0" borderId="0" xfId="0" applyFont="1" applyAlignment="1">
      <alignment horizontal="center" vertical="top"/>
    </xf>
    <xf numFmtId="0" fontId="15" fillId="0" borderId="0" xfId="0" applyFont="1" applyAlignment="1">
      <alignment vertical="top" wrapText="1"/>
    </xf>
    <xf numFmtId="0" fontId="16" fillId="0" borderId="0" xfId="0" applyFont="1" applyAlignment="1">
      <alignment vertical="top" wrapText="1"/>
    </xf>
    <xf numFmtId="0" fontId="7" fillId="4" borderId="0" xfId="0" applyFont="1" applyFill="1" applyAlignment="1">
      <alignment vertical="center" wrapText="1"/>
    </xf>
    <xf numFmtId="0" fontId="12" fillId="4" borderId="0" xfId="0" applyFont="1" applyFill="1" applyAlignment="1">
      <alignment vertical="center" wrapText="1"/>
    </xf>
    <xf numFmtId="0" fontId="7" fillId="3" borderId="1" xfId="0" applyFont="1" applyFill="1" applyBorder="1" applyAlignment="1">
      <alignment vertical="center" wrapText="1"/>
    </xf>
    <xf numFmtId="0" fontId="12" fillId="3" borderId="0" xfId="0" applyFont="1" applyFill="1" applyAlignment="1">
      <alignment vertical="center" wrapText="1"/>
    </xf>
    <xf numFmtId="0" fontId="12" fillId="3" borderId="3" xfId="0" applyFont="1" applyFill="1" applyBorder="1" applyAlignment="1">
      <alignment vertical="center" wrapText="1"/>
    </xf>
    <xf numFmtId="0" fontId="12" fillId="2" borderId="0" xfId="0" applyFont="1" applyFill="1" applyAlignment="1">
      <alignment vertical="center" wrapText="1"/>
    </xf>
    <xf numFmtId="0" fontId="17" fillId="0" borderId="2" xfId="0" applyFont="1" applyBorder="1" applyAlignment="1">
      <alignment vertical="top" wrapText="1"/>
    </xf>
    <xf numFmtId="0" fontId="0" fillId="0" borderId="0" xfId="0" applyFill="1" applyAlignment="1">
      <alignment vertical="center"/>
    </xf>
    <xf numFmtId="0" fontId="1" fillId="0" borderId="0" xfId="0" applyFont="1" applyFill="1" applyAlignment="1">
      <alignment horizontal="center" vertical="center"/>
    </xf>
    <xf numFmtId="0" fontId="1" fillId="0" borderId="0" xfId="0" applyFont="1" applyFill="1" applyAlignment="1">
      <alignment vertical="center"/>
    </xf>
    <xf numFmtId="0" fontId="2" fillId="0" borderId="0" xfId="0" applyFont="1" applyFill="1" applyAlignment="1">
      <alignment vertical="center"/>
    </xf>
    <xf numFmtId="0" fontId="15" fillId="0" borderId="0" xfId="0" applyFont="1" applyFill="1" applyAlignment="1">
      <alignment vertical="top" wrapText="1"/>
    </xf>
  </cellXfs>
  <cellStyles count="1">
    <cellStyle name="Normal" xfId="0" builtinId="0"/>
  </cellStyles>
  <dxfs count="0"/>
  <tableStyles count="0" defaultTableStyle="TableStyleMedium2" defaultPivotStyle="PivotStyleLight16"/>
  <colors>
    <mruColors>
      <color rgb="FFF4FF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60D18-9902-46E7-B28F-85E4887834BB}">
  <dimension ref="A1:AN22"/>
  <sheetViews>
    <sheetView tabSelected="1" topLeftCell="AA2" zoomScale="55" zoomScaleNormal="55" workbookViewId="0">
      <selection activeCell="AI2" sqref="AI2"/>
    </sheetView>
  </sheetViews>
  <sheetFormatPr defaultColWidth="8.81640625" defaultRowHeight="14.5" x14ac:dyDescent="0.35"/>
  <cols>
    <col min="1" max="1" width="17" customWidth="1"/>
    <col min="2" max="2" width="28.453125" customWidth="1"/>
    <col min="6" max="6" width="10.453125" customWidth="1"/>
    <col min="8" max="8" width="16.453125" customWidth="1"/>
    <col min="34" max="34" width="16.1796875" customWidth="1"/>
    <col min="35" max="35" width="69.7265625" customWidth="1"/>
    <col min="36" max="36" width="139.90625" customWidth="1"/>
  </cols>
  <sheetData>
    <row r="1" spans="1:36" s="1" customFormat="1" ht="69" customHeight="1" x14ac:dyDescent="0.35">
      <c r="B1" s="18"/>
      <c r="C1" s="3"/>
      <c r="D1" s="18"/>
      <c r="E1" s="18"/>
      <c r="F1" s="18"/>
      <c r="G1" s="3"/>
      <c r="H1" s="3"/>
      <c r="J1" s="23" t="s">
        <v>0</v>
      </c>
      <c r="K1" s="24"/>
      <c r="L1" s="24"/>
      <c r="M1" s="24"/>
      <c r="N1" s="24"/>
      <c r="O1" s="24"/>
      <c r="P1" s="25" t="s">
        <v>20</v>
      </c>
      <c r="Q1" s="26"/>
      <c r="R1" s="26"/>
      <c r="S1" s="26"/>
      <c r="T1" s="27"/>
      <c r="U1" s="28" t="s">
        <v>21</v>
      </c>
      <c r="V1" s="28"/>
      <c r="W1" s="28"/>
      <c r="X1" s="28"/>
      <c r="Y1" s="28"/>
      <c r="Z1" s="16"/>
      <c r="AA1" s="16"/>
    </row>
    <row r="2" spans="1:36" s="6" customFormat="1" ht="301" customHeight="1" x14ac:dyDescent="0.35">
      <c r="A2" s="17" t="s">
        <v>22</v>
      </c>
      <c r="B2" s="19" t="s">
        <v>23</v>
      </c>
      <c r="C2" s="17" t="s">
        <v>1</v>
      </c>
      <c r="D2" s="19" t="s">
        <v>80</v>
      </c>
      <c r="E2" s="19" t="s">
        <v>24</v>
      </c>
      <c r="F2" s="19" t="s">
        <v>25</v>
      </c>
      <c r="G2" s="19" t="s">
        <v>26</v>
      </c>
      <c r="H2" s="19" t="s">
        <v>27</v>
      </c>
      <c r="I2" s="15" t="s">
        <v>2</v>
      </c>
      <c r="J2" s="13" t="s">
        <v>3</v>
      </c>
      <c r="K2" s="13" t="s">
        <v>4</v>
      </c>
      <c r="L2" s="13" t="s">
        <v>5</v>
      </c>
      <c r="M2" s="13" t="s">
        <v>6</v>
      </c>
      <c r="N2" s="13" t="s">
        <v>7</v>
      </c>
      <c r="O2" s="13" t="s">
        <v>8</v>
      </c>
      <c r="P2" s="13" t="s">
        <v>9</v>
      </c>
      <c r="Q2" s="29" t="s">
        <v>90</v>
      </c>
      <c r="R2" s="29" t="s">
        <v>91</v>
      </c>
      <c r="S2" s="29" t="s">
        <v>92</v>
      </c>
      <c r="T2" s="14" t="s">
        <v>10</v>
      </c>
      <c r="U2" s="29" t="s">
        <v>93</v>
      </c>
      <c r="V2" s="13" t="s">
        <v>77</v>
      </c>
      <c r="W2" s="29" t="s">
        <v>94</v>
      </c>
      <c r="X2" s="13" t="s">
        <v>76</v>
      </c>
      <c r="Y2" s="12" t="s">
        <v>78</v>
      </c>
      <c r="Z2" s="11" t="s">
        <v>11</v>
      </c>
      <c r="AA2" s="10" t="s">
        <v>12</v>
      </c>
      <c r="AB2" s="9" t="s">
        <v>13</v>
      </c>
      <c r="AC2" s="8" t="s">
        <v>14</v>
      </c>
      <c r="AD2" s="11" t="s">
        <v>15</v>
      </c>
      <c r="AE2" s="10" t="s">
        <v>16</v>
      </c>
      <c r="AF2" s="9" t="s">
        <v>17</v>
      </c>
      <c r="AG2" s="8" t="s">
        <v>18</v>
      </c>
      <c r="AH2" s="20" t="s">
        <v>28</v>
      </c>
      <c r="AI2" s="7" t="s">
        <v>19</v>
      </c>
      <c r="AJ2" s="22" t="s">
        <v>98</v>
      </c>
    </row>
    <row r="3" spans="1:36" s="1" customFormat="1" x14ac:dyDescent="0.35">
      <c r="A3" s="1" t="s">
        <v>46</v>
      </c>
      <c r="B3" s="18" t="s">
        <v>49</v>
      </c>
      <c r="C3" s="18">
        <v>3</v>
      </c>
      <c r="D3" s="18">
        <v>0</v>
      </c>
      <c r="E3" s="18">
        <v>0</v>
      </c>
      <c r="F3" s="18">
        <v>0</v>
      </c>
      <c r="G3" s="3" t="s">
        <v>30</v>
      </c>
      <c r="H3" s="3"/>
      <c r="I3" s="1">
        <v>0</v>
      </c>
      <c r="J3" s="1">
        <v>1</v>
      </c>
      <c r="K3" s="1">
        <v>0</v>
      </c>
      <c r="L3" s="1">
        <v>0</v>
      </c>
      <c r="M3" s="1">
        <v>0</v>
      </c>
      <c r="N3" s="2">
        <v>0</v>
      </c>
      <c r="O3" s="1">
        <v>0</v>
      </c>
      <c r="P3" s="1">
        <v>0</v>
      </c>
      <c r="Q3" s="2">
        <v>1</v>
      </c>
      <c r="R3" s="1">
        <v>1</v>
      </c>
      <c r="S3" s="1">
        <v>0</v>
      </c>
      <c r="T3" s="1">
        <v>0</v>
      </c>
      <c r="U3" s="1">
        <v>0</v>
      </c>
      <c r="V3" s="1">
        <v>0</v>
      </c>
      <c r="W3" s="2">
        <v>0</v>
      </c>
      <c r="X3" s="2">
        <v>0</v>
      </c>
      <c r="Y3" s="2">
        <v>0</v>
      </c>
      <c r="Z3" s="1">
        <f t="shared" ref="Z3:Z21" si="0">SUM(J3:O3)</f>
        <v>1</v>
      </c>
      <c r="AA3" s="1">
        <f t="shared" ref="AA3:AA11" si="1">SUM(P3:T3)</f>
        <v>2</v>
      </c>
      <c r="AB3" s="1">
        <f t="shared" ref="AB3:AB21" si="2">SUM(U3:Y3)</f>
        <v>0</v>
      </c>
      <c r="AC3" s="1">
        <f t="shared" ref="AC3:AC21" si="3">SUM(Z3:AB3)</f>
        <v>3</v>
      </c>
      <c r="AD3" s="1">
        <f t="shared" ref="AD3:AD21" si="4">Z3/6*5</f>
        <v>0.83333333333333326</v>
      </c>
      <c r="AE3" s="1">
        <f t="shared" ref="AE3:AE21" si="5">AA3/5*5</f>
        <v>2</v>
      </c>
      <c r="AF3" s="1">
        <f t="shared" ref="AF3:AF21" si="6" xml:space="preserve"> AB3/5*5</f>
        <v>0</v>
      </c>
      <c r="AG3" s="1">
        <f t="shared" ref="AG3:AG6" si="7">SUM(AD3:AF3)/3</f>
        <v>0.94444444444444431</v>
      </c>
      <c r="AI3" s="21"/>
      <c r="AJ3" s="5"/>
    </row>
    <row r="4" spans="1:36" s="1" customFormat="1" x14ac:dyDescent="0.35">
      <c r="A4" s="1" t="s">
        <v>46</v>
      </c>
      <c r="B4" s="18" t="s">
        <v>50</v>
      </c>
      <c r="C4" s="18">
        <v>6</v>
      </c>
      <c r="D4" s="18">
        <v>0</v>
      </c>
      <c r="E4" s="18">
        <v>0</v>
      </c>
      <c r="F4" s="18">
        <v>2</v>
      </c>
      <c r="G4" s="3" t="s">
        <v>47</v>
      </c>
      <c r="H4" s="3"/>
      <c r="I4" s="1">
        <v>1</v>
      </c>
      <c r="J4" s="1">
        <v>1</v>
      </c>
      <c r="K4" s="1">
        <v>0</v>
      </c>
      <c r="L4" s="1">
        <v>0</v>
      </c>
      <c r="M4" s="1">
        <v>1</v>
      </c>
      <c r="N4" s="2">
        <v>1</v>
      </c>
      <c r="O4" s="1">
        <v>0</v>
      </c>
      <c r="P4" s="1">
        <v>0</v>
      </c>
      <c r="Q4" s="1">
        <v>0</v>
      </c>
      <c r="R4" s="1">
        <v>0</v>
      </c>
      <c r="S4" s="1">
        <v>0</v>
      </c>
      <c r="T4" s="1">
        <v>0</v>
      </c>
      <c r="U4" s="1">
        <v>0</v>
      </c>
      <c r="V4" s="1">
        <v>0</v>
      </c>
      <c r="W4" s="2">
        <v>0</v>
      </c>
      <c r="X4" s="2">
        <v>1</v>
      </c>
      <c r="Y4" s="2">
        <v>1</v>
      </c>
      <c r="Z4" s="1">
        <f t="shared" si="0"/>
        <v>3</v>
      </c>
      <c r="AA4" s="1">
        <f t="shared" si="1"/>
        <v>0</v>
      </c>
      <c r="AB4" s="1">
        <f t="shared" si="2"/>
        <v>2</v>
      </c>
      <c r="AC4" s="1">
        <f t="shared" si="3"/>
        <v>5</v>
      </c>
      <c r="AD4" s="1">
        <f t="shared" si="4"/>
        <v>2.5</v>
      </c>
      <c r="AE4" s="1">
        <f t="shared" si="5"/>
        <v>0</v>
      </c>
      <c r="AF4" s="1">
        <f t="shared" si="6"/>
        <v>2</v>
      </c>
      <c r="AG4" s="1">
        <f t="shared" si="7"/>
        <v>1.5</v>
      </c>
      <c r="AI4" s="21" t="s">
        <v>79</v>
      </c>
      <c r="AJ4" s="4"/>
    </row>
    <row r="5" spans="1:36" s="1" customFormat="1" ht="29" x14ac:dyDescent="0.35">
      <c r="A5" s="1" t="s">
        <v>46</v>
      </c>
      <c r="B5" s="18" t="s">
        <v>51</v>
      </c>
      <c r="C5" s="18">
        <v>16</v>
      </c>
      <c r="D5" s="18">
        <v>0</v>
      </c>
      <c r="E5" s="18">
        <v>0</v>
      </c>
      <c r="F5" s="18">
        <v>0</v>
      </c>
      <c r="G5" s="3" t="s">
        <v>30</v>
      </c>
      <c r="H5" s="3"/>
      <c r="I5" s="1">
        <v>1</v>
      </c>
      <c r="J5" s="1">
        <v>1</v>
      </c>
      <c r="K5" s="1">
        <v>0</v>
      </c>
      <c r="L5" s="1">
        <v>0</v>
      </c>
      <c r="M5" s="1">
        <v>1</v>
      </c>
      <c r="N5" s="1">
        <v>0</v>
      </c>
      <c r="O5" s="1">
        <v>0</v>
      </c>
      <c r="P5" s="1">
        <v>0</v>
      </c>
      <c r="Q5" s="1">
        <v>0</v>
      </c>
      <c r="R5" s="1">
        <v>1</v>
      </c>
      <c r="S5" s="1">
        <v>0</v>
      </c>
      <c r="T5" s="1">
        <v>0</v>
      </c>
      <c r="U5" s="1">
        <v>0</v>
      </c>
      <c r="V5" s="1">
        <v>0</v>
      </c>
      <c r="W5" s="1">
        <v>0</v>
      </c>
      <c r="X5" s="1">
        <v>0</v>
      </c>
      <c r="Y5" s="2">
        <v>0</v>
      </c>
      <c r="Z5" s="1">
        <f t="shared" si="0"/>
        <v>2</v>
      </c>
      <c r="AA5" s="1">
        <f t="shared" si="1"/>
        <v>1</v>
      </c>
      <c r="AB5" s="1">
        <f t="shared" si="2"/>
        <v>0</v>
      </c>
      <c r="AC5" s="1">
        <f t="shared" si="3"/>
        <v>3</v>
      </c>
      <c r="AD5" s="1">
        <f t="shared" si="4"/>
        <v>1.6666666666666665</v>
      </c>
      <c r="AE5" s="1">
        <f t="shared" si="5"/>
        <v>1</v>
      </c>
      <c r="AF5" s="1">
        <f t="shared" si="6"/>
        <v>0</v>
      </c>
      <c r="AG5" s="1">
        <f t="shared" si="7"/>
        <v>0.88888888888888884</v>
      </c>
      <c r="AI5" s="21" t="s">
        <v>82</v>
      </c>
    </row>
    <row r="6" spans="1:36" s="30" customFormat="1" ht="29" x14ac:dyDescent="0.35">
      <c r="A6" s="30" t="s">
        <v>46</v>
      </c>
      <c r="B6" s="31" t="s">
        <v>52</v>
      </c>
      <c r="C6" s="31">
        <v>25</v>
      </c>
      <c r="D6" s="31">
        <v>1</v>
      </c>
      <c r="E6" s="31">
        <v>0</v>
      </c>
      <c r="F6" s="31">
        <v>1</v>
      </c>
      <c r="G6" s="32" t="s">
        <v>35</v>
      </c>
      <c r="H6" s="32"/>
      <c r="I6" s="30">
        <v>4</v>
      </c>
      <c r="J6" s="30">
        <v>1</v>
      </c>
      <c r="K6" s="30">
        <v>1</v>
      </c>
      <c r="L6" s="30">
        <v>1</v>
      </c>
      <c r="M6" s="30">
        <v>1</v>
      </c>
      <c r="N6" s="30">
        <v>1</v>
      </c>
      <c r="O6" s="30">
        <v>0</v>
      </c>
      <c r="P6" s="30">
        <v>0</v>
      </c>
      <c r="Q6" s="30">
        <v>1</v>
      </c>
      <c r="R6" s="30">
        <v>1</v>
      </c>
      <c r="S6" s="30">
        <v>1</v>
      </c>
      <c r="T6" s="30">
        <v>1</v>
      </c>
      <c r="U6" s="30">
        <v>1</v>
      </c>
      <c r="V6" s="30">
        <v>1</v>
      </c>
      <c r="W6" s="30">
        <v>0</v>
      </c>
      <c r="X6" s="30">
        <v>1</v>
      </c>
      <c r="Y6" s="33">
        <v>0</v>
      </c>
      <c r="Z6" s="30">
        <f t="shared" si="0"/>
        <v>5</v>
      </c>
      <c r="AA6" s="30">
        <f t="shared" si="1"/>
        <v>4</v>
      </c>
      <c r="AB6" s="30">
        <f t="shared" si="2"/>
        <v>3</v>
      </c>
      <c r="AC6" s="30">
        <f t="shared" si="3"/>
        <v>12</v>
      </c>
      <c r="AD6" s="30">
        <f t="shared" si="4"/>
        <v>4.166666666666667</v>
      </c>
      <c r="AE6" s="30">
        <f t="shared" si="5"/>
        <v>4</v>
      </c>
      <c r="AF6" s="30">
        <f t="shared" si="6"/>
        <v>3</v>
      </c>
      <c r="AG6" s="30">
        <f t="shared" si="7"/>
        <v>3.7222222222222228</v>
      </c>
      <c r="AH6" s="30" t="s">
        <v>53</v>
      </c>
      <c r="AI6" s="34" t="s">
        <v>95</v>
      </c>
    </row>
    <row r="7" spans="1:36" s="30" customFormat="1" x14ac:dyDescent="0.35">
      <c r="A7" s="30" t="s">
        <v>46</v>
      </c>
      <c r="B7" s="31" t="s">
        <v>54</v>
      </c>
      <c r="C7" s="31">
        <v>36</v>
      </c>
      <c r="D7" s="31">
        <v>0</v>
      </c>
      <c r="E7" s="31">
        <v>0</v>
      </c>
      <c r="F7" s="31">
        <v>1</v>
      </c>
      <c r="G7" s="32" t="s">
        <v>33</v>
      </c>
      <c r="H7" s="32" t="s">
        <v>32</v>
      </c>
      <c r="I7" s="30">
        <v>2</v>
      </c>
      <c r="J7" s="30">
        <v>1</v>
      </c>
      <c r="K7" s="30">
        <v>0</v>
      </c>
      <c r="L7" s="30">
        <v>0</v>
      </c>
      <c r="M7" s="30">
        <v>1</v>
      </c>
      <c r="N7" s="30">
        <v>1</v>
      </c>
      <c r="O7" s="30">
        <v>0</v>
      </c>
      <c r="P7" s="30">
        <v>0</v>
      </c>
      <c r="Q7" s="30">
        <v>0</v>
      </c>
      <c r="R7" s="30">
        <v>1</v>
      </c>
      <c r="S7" s="30">
        <v>0</v>
      </c>
      <c r="T7" s="30">
        <v>0</v>
      </c>
      <c r="U7" s="30">
        <v>1</v>
      </c>
      <c r="V7" s="30">
        <v>1</v>
      </c>
      <c r="W7" s="30">
        <v>0</v>
      </c>
      <c r="X7" s="30">
        <v>1</v>
      </c>
      <c r="Y7" s="33">
        <v>1</v>
      </c>
      <c r="Z7" s="30">
        <f t="shared" si="0"/>
        <v>3</v>
      </c>
      <c r="AA7" s="30">
        <f t="shared" si="1"/>
        <v>1</v>
      </c>
      <c r="AB7" s="30">
        <f t="shared" si="2"/>
        <v>4</v>
      </c>
      <c r="AC7" s="30">
        <f t="shared" si="3"/>
        <v>8</v>
      </c>
      <c r="AD7" s="30">
        <f t="shared" si="4"/>
        <v>2.5</v>
      </c>
      <c r="AE7" s="30">
        <f t="shared" si="5"/>
        <v>1</v>
      </c>
      <c r="AF7" s="30">
        <f t="shared" si="6"/>
        <v>4</v>
      </c>
      <c r="AG7" s="30">
        <f>SUM(AD7:AF7)/3</f>
        <v>2.5</v>
      </c>
      <c r="AI7" s="34" t="s">
        <v>81</v>
      </c>
    </row>
    <row r="8" spans="1:36" s="30" customFormat="1" x14ac:dyDescent="0.35">
      <c r="A8" s="30" t="s">
        <v>29</v>
      </c>
      <c r="B8" s="31" t="s">
        <v>34</v>
      </c>
      <c r="C8" s="31">
        <v>4</v>
      </c>
      <c r="D8" s="31">
        <v>1</v>
      </c>
      <c r="E8" s="31">
        <v>0</v>
      </c>
      <c r="F8" s="31">
        <v>1</v>
      </c>
      <c r="G8" s="32" t="s">
        <v>35</v>
      </c>
      <c r="H8" s="32" t="s">
        <v>32</v>
      </c>
      <c r="I8" s="30">
        <v>4</v>
      </c>
      <c r="J8" s="30">
        <v>1</v>
      </c>
      <c r="K8" s="30">
        <v>1</v>
      </c>
      <c r="L8" s="30">
        <v>1</v>
      </c>
      <c r="M8" s="30">
        <v>1</v>
      </c>
      <c r="N8" s="33">
        <v>1</v>
      </c>
      <c r="O8" s="30">
        <v>1</v>
      </c>
      <c r="P8" s="30">
        <v>0</v>
      </c>
      <c r="Q8" s="33">
        <v>1</v>
      </c>
      <c r="R8" s="30">
        <v>1</v>
      </c>
      <c r="S8" s="30">
        <v>1</v>
      </c>
      <c r="T8" s="30">
        <v>1</v>
      </c>
      <c r="U8" s="30">
        <v>1</v>
      </c>
      <c r="V8" s="30">
        <v>1</v>
      </c>
      <c r="W8" s="33">
        <v>0</v>
      </c>
      <c r="X8" s="33">
        <v>1</v>
      </c>
      <c r="Y8" s="33">
        <v>0</v>
      </c>
      <c r="Z8" s="30">
        <f t="shared" si="0"/>
        <v>6</v>
      </c>
      <c r="AA8" s="30">
        <f t="shared" si="1"/>
        <v>4</v>
      </c>
      <c r="AB8" s="30">
        <f t="shared" si="2"/>
        <v>3</v>
      </c>
      <c r="AC8" s="30">
        <f t="shared" si="3"/>
        <v>13</v>
      </c>
      <c r="AD8" s="30">
        <f t="shared" si="4"/>
        <v>5</v>
      </c>
      <c r="AE8" s="30">
        <f t="shared" si="5"/>
        <v>4</v>
      </c>
      <c r="AF8" s="30">
        <f t="shared" si="6"/>
        <v>3</v>
      </c>
      <c r="AG8" s="30">
        <f t="shared" ref="AG8:AG21" si="8">SUM(AD8:AF8)/3</f>
        <v>4</v>
      </c>
      <c r="AH8" s="30" t="s">
        <v>36</v>
      </c>
      <c r="AI8" s="34" t="s">
        <v>96</v>
      </c>
    </row>
    <row r="9" spans="1:36" s="30" customFormat="1" ht="29" x14ac:dyDescent="0.35">
      <c r="A9" s="30" t="s">
        <v>29</v>
      </c>
      <c r="B9" s="31" t="s">
        <v>39</v>
      </c>
      <c r="C9" s="31">
        <v>10</v>
      </c>
      <c r="D9" s="31">
        <v>0</v>
      </c>
      <c r="E9" s="31">
        <v>0</v>
      </c>
      <c r="F9" s="31">
        <v>0</v>
      </c>
      <c r="G9" s="32" t="s">
        <v>33</v>
      </c>
      <c r="H9" s="32" t="s">
        <v>37</v>
      </c>
      <c r="I9" s="30">
        <v>0</v>
      </c>
      <c r="J9" s="30">
        <v>1</v>
      </c>
      <c r="K9" s="30">
        <v>0</v>
      </c>
      <c r="L9" s="30">
        <v>0</v>
      </c>
      <c r="M9" s="30">
        <v>1</v>
      </c>
      <c r="N9" s="30">
        <v>0</v>
      </c>
      <c r="O9" s="30">
        <v>0</v>
      </c>
      <c r="P9" s="30">
        <v>0</v>
      </c>
      <c r="Q9" s="30">
        <v>0</v>
      </c>
      <c r="R9" s="30">
        <v>0</v>
      </c>
      <c r="S9" s="30">
        <v>0</v>
      </c>
      <c r="T9" s="30">
        <v>0</v>
      </c>
      <c r="U9" s="30">
        <v>0</v>
      </c>
      <c r="V9" s="30">
        <v>0</v>
      </c>
      <c r="W9" s="30">
        <v>0</v>
      </c>
      <c r="X9" s="30">
        <v>0</v>
      </c>
      <c r="Y9" s="33">
        <v>0</v>
      </c>
      <c r="Z9" s="30">
        <f t="shared" si="0"/>
        <v>2</v>
      </c>
      <c r="AA9" s="30">
        <f t="shared" si="1"/>
        <v>0</v>
      </c>
      <c r="AB9" s="30">
        <f t="shared" si="2"/>
        <v>0</v>
      </c>
      <c r="AC9" s="30">
        <f t="shared" si="3"/>
        <v>2</v>
      </c>
      <c r="AD9" s="30">
        <f t="shared" si="4"/>
        <v>1.6666666666666665</v>
      </c>
      <c r="AE9" s="30">
        <f t="shared" si="5"/>
        <v>0</v>
      </c>
      <c r="AF9" s="30">
        <f t="shared" si="6"/>
        <v>0</v>
      </c>
      <c r="AG9" s="30">
        <f t="shared" si="8"/>
        <v>0.55555555555555547</v>
      </c>
      <c r="AI9" s="34" t="s">
        <v>83</v>
      </c>
    </row>
    <row r="10" spans="1:36" s="30" customFormat="1" x14ac:dyDescent="0.35">
      <c r="A10" s="30" t="s">
        <v>29</v>
      </c>
      <c r="B10" s="31" t="s">
        <v>40</v>
      </c>
      <c r="C10" s="31">
        <v>14</v>
      </c>
      <c r="D10" s="31">
        <v>1</v>
      </c>
      <c r="E10" s="31">
        <v>0</v>
      </c>
      <c r="F10" s="31">
        <v>1</v>
      </c>
      <c r="G10" s="32" t="s">
        <v>41</v>
      </c>
      <c r="H10" s="32" t="s">
        <v>42</v>
      </c>
      <c r="I10" s="30">
        <v>3</v>
      </c>
      <c r="J10" s="30">
        <v>1</v>
      </c>
      <c r="K10" s="30">
        <v>1</v>
      </c>
      <c r="L10" s="30">
        <v>1</v>
      </c>
      <c r="M10" s="30">
        <v>1</v>
      </c>
      <c r="N10" s="30">
        <v>1</v>
      </c>
      <c r="O10" s="30">
        <v>1</v>
      </c>
      <c r="P10" s="30">
        <v>0</v>
      </c>
      <c r="Q10" s="30">
        <v>1</v>
      </c>
      <c r="R10" s="30">
        <v>1</v>
      </c>
      <c r="S10" s="30">
        <v>1</v>
      </c>
      <c r="T10" s="30">
        <v>1</v>
      </c>
      <c r="U10" s="30">
        <v>1</v>
      </c>
      <c r="V10" s="30">
        <v>1</v>
      </c>
      <c r="W10" s="30">
        <v>0</v>
      </c>
      <c r="X10" s="30">
        <v>1</v>
      </c>
      <c r="Y10" s="33">
        <v>0</v>
      </c>
      <c r="Z10" s="30">
        <f t="shared" si="0"/>
        <v>6</v>
      </c>
      <c r="AA10" s="30">
        <f t="shared" si="1"/>
        <v>4</v>
      </c>
      <c r="AB10" s="30">
        <f t="shared" si="2"/>
        <v>3</v>
      </c>
      <c r="AC10" s="30">
        <f t="shared" si="3"/>
        <v>13</v>
      </c>
      <c r="AD10" s="30">
        <f t="shared" si="4"/>
        <v>5</v>
      </c>
      <c r="AE10" s="30">
        <f t="shared" si="5"/>
        <v>4</v>
      </c>
      <c r="AF10" s="30">
        <f t="shared" si="6"/>
        <v>3</v>
      </c>
      <c r="AG10" s="30">
        <f t="shared" si="8"/>
        <v>4</v>
      </c>
      <c r="AH10" s="30" t="s">
        <v>43</v>
      </c>
      <c r="AI10" s="34" t="s">
        <v>97</v>
      </c>
    </row>
    <row r="11" spans="1:36" s="1" customFormat="1" ht="58" x14ac:dyDescent="0.35">
      <c r="A11" s="1" t="s">
        <v>29</v>
      </c>
      <c r="B11" s="18" t="s">
        <v>44</v>
      </c>
      <c r="C11" s="18">
        <v>19</v>
      </c>
      <c r="D11" s="18">
        <v>0</v>
      </c>
      <c r="E11" s="18">
        <v>0</v>
      </c>
      <c r="F11" s="18">
        <v>0</v>
      </c>
      <c r="G11" s="3" t="s">
        <v>30</v>
      </c>
      <c r="H11" s="3" t="s">
        <v>38</v>
      </c>
      <c r="I11" s="1">
        <v>0</v>
      </c>
      <c r="J11" s="1">
        <v>1</v>
      </c>
      <c r="K11" s="1">
        <v>1</v>
      </c>
      <c r="L11" s="1">
        <v>0</v>
      </c>
      <c r="M11" s="1">
        <v>0</v>
      </c>
      <c r="N11" s="1">
        <v>1</v>
      </c>
      <c r="O11" s="1">
        <v>0</v>
      </c>
      <c r="P11" s="1">
        <v>0</v>
      </c>
      <c r="Q11" s="1">
        <v>0</v>
      </c>
      <c r="R11" s="1">
        <v>1</v>
      </c>
      <c r="S11" s="1">
        <v>0</v>
      </c>
      <c r="T11" s="1">
        <v>0</v>
      </c>
      <c r="U11" s="1">
        <v>0</v>
      </c>
      <c r="V11" s="1">
        <v>0</v>
      </c>
      <c r="W11" s="1">
        <v>0</v>
      </c>
      <c r="X11" s="1">
        <v>0</v>
      </c>
      <c r="Y11" s="2">
        <v>0</v>
      </c>
      <c r="Z11" s="1">
        <f t="shared" si="0"/>
        <v>3</v>
      </c>
      <c r="AA11" s="1">
        <f t="shared" si="1"/>
        <v>1</v>
      </c>
      <c r="AB11" s="1">
        <f t="shared" si="2"/>
        <v>0</v>
      </c>
      <c r="AC11" s="1">
        <f t="shared" si="3"/>
        <v>4</v>
      </c>
      <c r="AD11" s="1">
        <f t="shared" si="4"/>
        <v>2.5</v>
      </c>
      <c r="AE11" s="1">
        <f t="shared" si="5"/>
        <v>1</v>
      </c>
      <c r="AF11" s="1">
        <f t="shared" si="6"/>
        <v>0</v>
      </c>
      <c r="AG11" s="1">
        <f t="shared" si="8"/>
        <v>1.1666666666666667</v>
      </c>
      <c r="AI11" s="21" t="s">
        <v>84</v>
      </c>
    </row>
    <row r="12" spans="1:36" s="1" customFormat="1" x14ac:dyDescent="0.35">
      <c r="A12" s="1" t="s">
        <v>29</v>
      </c>
      <c r="B12" s="18" t="s">
        <v>45</v>
      </c>
      <c r="C12" s="18">
        <v>21</v>
      </c>
      <c r="D12" s="18">
        <v>0</v>
      </c>
      <c r="E12" s="18">
        <v>0</v>
      </c>
      <c r="F12" s="18">
        <v>0</v>
      </c>
      <c r="G12" s="3" t="s">
        <v>33</v>
      </c>
      <c r="H12" s="3" t="s">
        <v>31</v>
      </c>
      <c r="I12" s="1">
        <v>0</v>
      </c>
      <c r="J12" s="1">
        <v>1</v>
      </c>
      <c r="K12" s="1">
        <v>0</v>
      </c>
      <c r="L12" s="1">
        <v>0</v>
      </c>
      <c r="M12" s="1">
        <v>0</v>
      </c>
      <c r="N12" s="1">
        <v>0</v>
      </c>
      <c r="O12" s="1">
        <v>0</v>
      </c>
      <c r="P12" s="1">
        <v>0</v>
      </c>
      <c r="Q12" s="1">
        <v>0</v>
      </c>
      <c r="R12" s="1">
        <v>1</v>
      </c>
      <c r="S12" s="1">
        <v>0</v>
      </c>
      <c r="T12" s="1">
        <v>0</v>
      </c>
      <c r="U12" s="1">
        <v>0</v>
      </c>
      <c r="V12" s="1">
        <v>0</v>
      </c>
      <c r="W12" s="1">
        <v>0</v>
      </c>
      <c r="X12" s="1">
        <v>0</v>
      </c>
      <c r="Y12" s="2">
        <v>0</v>
      </c>
      <c r="Z12" s="1">
        <f t="shared" si="0"/>
        <v>1</v>
      </c>
      <c r="AA12" s="1">
        <f>SUM(P12:T12)</f>
        <v>1</v>
      </c>
      <c r="AB12" s="1">
        <f t="shared" si="2"/>
        <v>0</v>
      </c>
      <c r="AC12" s="1">
        <f t="shared" si="3"/>
        <v>2</v>
      </c>
      <c r="AD12" s="1">
        <f t="shared" si="4"/>
        <v>0.83333333333333326</v>
      </c>
      <c r="AE12" s="1">
        <f t="shared" si="5"/>
        <v>1</v>
      </c>
      <c r="AF12" s="1">
        <f t="shared" si="6"/>
        <v>0</v>
      </c>
      <c r="AG12" s="1">
        <f t="shared" si="8"/>
        <v>0.61111111111111105</v>
      </c>
      <c r="AI12" s="21"/>
    </row>
    <row r="13" spans="1:36" s="1" customFormat="1" x14ac:dyDescent="0.35">
      <c r="A13" s="1" t="s">
        <v>55</v>
      </c>
      <c r="B13" s="18" t="s">
        <v>56</v>
      </c>
      <c r="C13" s="18">
        <v>4</v>
      </c>
      <c r="D13" s="18">
        <v>0</v>
      </c>
      <c r="E13" s="18">
        <v>0</v>
      </c>
      <c r="F13" s="18">
        <v>1</v>
      </c>
      <c r="G13" s="3" t="s">
        <v>48</v>
      </c>
      <c r="H13" s="3" t="s">
        <v>57</v>
      </c>
      <c r="I13" s="1">
        <v>2</v>
      </c>
      <c r="J13" s="1">
        <v>1</v>
      </c>
      <c r="K13" s="1">
        <v>1</v>
      </c>
      <c r="L13" s="1">
        <v>0</v>
      </c>
      <c r="M13" s="1">
        <v>0</v>
      </c>
      <c r="N13" s="2">
        <v>1</v>
      </c>
      <c r="O13" s="1">
        <v>0</v>
      </c>
      <c r="P13" s="1">
        <v>0</v>
      </c>
      <c r="Q13" s="2">
        <v>0</v>
      </c>
      <c r="R13" s="1">
        <v>1</v>
      </c>
      <c r="S13" s="1">
        <v>0</v>
      </c>
      <c r="T13" s="1">
        <v>0</v>
      </c>
      <c r="U13" s="1">
        <v>1</v>
      </c>
      <c r="V13" s="1">
        <v>1</v>
      </c>
      <c r="W13" s="2">
        <v>0</v>
      </c>
      <c r="X13" s="2">
        <v>1</v>
      </c>
      <c r="Y13" s="2">
        <v>1</v>
      </c>
      <c r="Z13" s="1">
        <f t="shared" si="0"/>
        <v>3</v>
      </c>
      <c r="AA13" s="1">
        <f t="shared" ref="AA13:AA16" si="9">SUM(P13:T13)</f>
        <v>1</v>
      </c>
      <c r="AB13" s="1">
        <f t="shared" si="2"/>
        <v>4</v>
      </c>
      <c r="AC13" s="1">
        <f t="shared" si="3"/>
        <v>8</v>
      </c>
      <c r="AD13" s="1">
        <f t="shared" si="4"/>
        <v>2.5</v>
      </c>
      <c r="AE13" s="1">
        <f t="shared" si="5"/>
        <v>1</v>
      </c>
      <c r="AF13" s="1">
        <f t="shared" si="6"/>
        <v>4</v>
      </c>
      <c r="AG13" s="1">
        <f t="shared" si="8"/>
        <v>2.5</v>
      </c>
      <c r="AI13" s="21"/>
    </row>
    <row r="14" spans="1:36" s="1" customFormat="1" x14ac:dyDescent="0.35">
      <c r="A14" s="1" t="s">
        <v>55</v>
      </c>
      <c r="B14" s="18" t="s">
        <v>58</v>
      </c>
      <c r="C14" s="18">
        <v>7</v>
      </c>
      <c r="D14" s="18">
        <v>1</v>
      </c>
      <c r="E14" s="18">
        <v>0</v>
      </c>
      <c r="F14" s="18">
        <v>1</v>
      </c>
      <c r="G14" s="3" t="s">
        <v>35</v>
      </c>
      <c r="H14" s="3" t="s">
        <v>59</v>
      </c>
      <c r="I14" s="1">
        <v>3</v>
      </c>
      <c r="J14" s="1">
        <v>1</v>
      </c>
      <c r="K14" s="1">
        <v>1</v>
      </c>
      <c r="L14" s="1">
        <v>0</v>
      </c>
      <c r="M14" s="1">
        <v>1</v>
      </c>
      <c r="N14" s="2">
        <v>1</v>
      </c>
      <c r="O14" s="1">
        <v>1</v>
      </c>
      <c r="P14" s="1">
        <v>0</v>
      </c>
      <c r="Q14" s="1">
        <v>1</v>
      </c>
      <c r="R14" s="1">
        <v>1</v>
      </c>
      <c r="S14" s="1">
        <v>0</v>
      </c>
      <c r="T14" s="1">
        <v>1</v>
      </c>
      <c r="U14" s="1">
        <v>1</v>
      </c>
      <c r="V14" s="1">
        <v>1</v>
      </c>
      <c r="W14" s="2">
        <v>0</v>
      </c>
      <c r="X14" s="2">
        <v>1</v>
      </c>
      <c r="Y14" s="2">
        <v>1</v>
      </c>
      <c r="Z14" s="1">
        <f t="shared" si="0"/>
        <v>5</v>
      </c>
      <c r="AA14" s="1">
        <f t="shared" si="9"/>
        <v>3</v>
      </c>
      <c r="AB14" s="1">
        <f t="shared" si="2"/>
        <v>4</v>
      </c>
      <c r="AC14" s="1">
        <f t="shared" si="3"/>
        <v>12</v>
      </c>
      <c r="AD14" s="1">
        <f t="shared" si="4"/>
        <v>4.166666666666667</v>
      </c>
      <c r="AE14" s="1">
        <f t="shared" si="5"/>
        <v>3</v>
      </c>
      <c r="AF14" s="1">
        <f t="shared" si="6"/>
        <v>4</v>
      </c>
      <c r="AG14" s="1">
        <f t="shared" si="8"/>
        <v>3.7222222222222228</v>
      </c>
      <c r="AI14" s="21"/>
    </row>
    <row r="15" spans="1:36" s="1" customFormat="1" x14ac:dyDescent="0.35">
      <c r="A15" s="1" t="s">
        <v>55</v>
      </c>
      <c r="B15" s="18" t="s">
        <v>60</v>
      </c>
      <c r="C15" s="18">
        <v>8</v>
      </c>
      <c r="D15" s="18">
        <v>1</v>
      </c>
      <c r="E15" s="18">
        <v>0</v>
      </c>
      <c r="F15" s="18">
        <v>2</v>
      </c>
      <c r="G15" s="3" t="s">
        <v>35</v>
      </c>
      <c r="H15" s="3" t="s">
        <v>61</v>
      </c>
      <c r="I15" s="1">
        <v>2</v>
      </c>
      <c r="J15" s="1">
        <v>1</v>
      </c>
      <c r="K15" s="1">
        <v>1</v>
      </c>
      <c r="L15" s="1">
        <v>0</v>
      </c>
      <c r="M15" s="1">
        <v>1</v>
      </c>
      <c r="N15" s="1">
        <v>1</v>
      </c>
      <c r="O15" s="1">
        <v>1</v>
      </c>
      <c r="P15" s="1">
        <v>0</v>
      </c>
      <c r="Q15" s="1">
        <v>0</v>
      </c>
      <c r="R15" s="1">
        <v>1</v>
      </c>
      <c r="S15" s="1">
        <v>0</v>
      </c>
      <c r="T15" s="1">
        <v>0</v>
      </c>
      <c r="U15" s="1">
        <v>1</v>
      </c>
      <c r="V15" s="1">
        <v>0</v>
      </c>
      <c r="W15" s="1">
        <v>0</v>
      </c>
      <c r="X15" s="1">
        <v>0</v>
      </c>
      <c r="Y15" s="2">
        <v>1</v>
      </c>
      <c r="Z15" s="1">
        <f t="shared" si="0"/>
        <v>5</v>
      </c>
      <c r="AA15" s="1">
        <f t="shared" si="9"/>
        <v>1</v>
      </c>
      <c r="AB15" s="1">
        <f t="shared" si="2"/>
        <v>2</v>
      </c>
      <c r="AC15" s="1">
        <f t="shared" si="3"/>
        <v>8</v>
      </c>
      <c r="AD15" s="1">
        <f t="shared" si="4"/>
        <v>4.166666666666667</v>
      </c>
      <c r="AE15" s="1">
        <f t="shared" si="5"/>
        <v>1</v>
      </c>
      <c r="AF15" s="1">
        <f t="shared" si="6"/>
        <v>2</v>
      </c>
      <c r="AG15" s="1">
        <f t="shared" si="8"/>
        <v>2.3888888888888888</v>
      </c>
      <c r="AI15" s="21"/>
    </row>
    <row r="16" spans="1:36" s="1" customFormat="1" x14ac:dyDescent="0.35">
      <c r="A16" s="1" t="s">
        <v>55</v>
      </c>
      <c r="B16" s="18" t="s">
        <v>62</v>
      </c>
      <c r="C16" s="18">
        <v>12</v>
      </c>
      <c r="D16" s="18">
        <v>0</v>
      </c>
      <c r="E16" s="18">
        <v>1</v>
      </c>
      <c r="F16" s="18">
        <v>0</v>
      </c>
      <c r="G16" s="3" t="s">
        <v>48</v>
      </c>
      <c r="H16" s="3" t="s">
        <v>63</v>
      </c>
      <c r="I16" s="1">
        <v>1</v>
      </c>
      <c r="J16" s="1">
        <v>1</v>
      </c>
      <c r="K16" s="1">
        <v>0</v>
      </c>
      <c r="L16" s="1">
        <v>0</v>
      </c>
      <c r="M16" s="1">
        <v>0</v>
      </c>
      <c r="N16" s="1">
        <v>0</v>
      </c>
      <c r="O16" s="1">
        <v>0</v>
      </c>
      <c r="P16" s="1">
        <v>0</v>
      </c>
      <c r="Q16" s="1">
        <v>0</v>
      </c>
      <c r="R16" s="1">
        <v>0</v>
      </c>
      <c r="S16" s="1">
        <v>0</v>
      </c>
      <c r="T16" s="1">
        <v>0</v>
      </c>
      <c r="U16" s="1">
        <v>0</v>
      </c>
      <c r="V16" s="1">
        <v>0</v>
      </c>
      <c r="W16" s="1">
        <v>0</v>
      </c>
      <c r="X16" s="1">
        <v>0</v>
      </c>
      <c r="Y16" s="2">
        <v>0</v>
      </c>
      <c r="Z16" s="1">
        <f t="shared" si="0"/>
        <v>1</v>
      </c>
      <c r="AA16" s="1">
        <f t="shared" si="9"/>
        <v>0</v>
      </c>
      <c r="AB16" s="1">
        <f t="shared" si="2"/>
        <v>0</v>
      </c>
      <c r="AC16" s="1">
        <f t="shared" si="3"/>
        <v>1</v>
      </c>
      <c r="AD16" s="1">
        <f t="shared" si="4"/>
        <v>0.83333333333333326</v>
      </c>
      <c r="AE16" s="1">
        <f t="shared" si="5"/>
        <v>0</v>
      </c>
      <c r="AF16" s="1">
        <f t="shared" si="6"/>
        <v>0</v>
      </c>
      <c r="AG16" s="1">
        <f t="shared" si="8"/>
        <v>0.27777777777777773</v>
      </c>
      <c r="AI16" s="21" t="s">
        <v>85</v>
      </c>
    </row>
    <row r="17" spans="1:40" s="1" customFormat="1" ht="29" x14ac:dyDescent="0.35">
      <c r="A17" s="1" t="s">
        <v>55</v>
      </c>
      <c r="B17" s="18" t="s">
        <v>65</v>
      </c>
      <c r="C17" s="18">
        <v>21</v>
      </c>
      <c r="D17" s="18">
        <v>1</v>
      </c>
      <c r="E17" s="18">
        <v>0</v>
      </c>
      <c r="F17" s="18">
        <v>2</v>
      </c>
      <c r="G17" s="3" t="s">
        <v>30</v>
      </c>
      <c r="H17" s="3" t="s">
        <v>32</v>
      </c>
      <c r="I17" s="1">
        <v>2</v>
      </c>
      <c r="J17" s="1">
        <v>1</v>
      </c>
      <c r="K17" s="1">
        <v>0</v>
      </c>
      <c r="L17" s="1">
        <v>0</v>
      </c>
      <c r="M17" s="1">
        <v>1</v>
      </c>
      <c r="N17" s="1">
        <v>1</v>
      </c>
      <c r="O17" s="1">
        <v>0</v>
      </c>
      <c r="P17" s="1">
        <v>0</v>
      </c>
      <c r="Q17" s="1">
        <v>1</v>
      </c>
      <c r="R17" s="1">
        <v>0</v>
      </c>
      <c r="S17" s="1">
        <v>0</v>
      </c>
      <c r="T17" s="1">
        <v>0</v>
      </c>
      <c r="U17" s="1">
        <v>1</v>
      </c>
      <c r="V17" s="1">
        <v>0</v>
      </c>
      <c r="W17" s="1">
        <v>0</v>
      </c>
      <c r="X17" s="1">
        <v>0</v>
      </c>
      <c r="Y17" s="2">
        <v>1</v>
      </c>
      <c r="Z17" s="1">
        <f t="shared" si="0"/>
        <v>3</v>
      </c>
      <c r="AA17" s="1">
        <f>SUM(P17:T17)</f>
        <v>1</v>
      </c>
      <c r="AB17" s="1">
        <f t="shared" si="2"/>
        <v>2</v>
      </c>
      <c r="AC17" s="1">
        <f t="shared" si="3"/>
        <v>6</v>
      </c>
      <c r="AD17" s="1">
        <f t="shared" si="4"/>
        <v>2.5</v>
      </c>
      <c r="AE17" s="1">
        <f t="shared" si="5"/>
        <v>1</v>
      </c>
      <c r="AF17" s="1">
        <f t="shared" si="6"/>
        <v>2</v>
      </c>
      <c r="AG17" s="1">
        <f t="shared" si="8"/>
        <v>1.8333333333333333</v>
      </c>
      <c r="AI17" s="21" t="s">
        <v>86</v>
      </c>
    </row>
    <row r="18" spans="1:40" s="1" customFormat="1" x14ac:dyDescent="0.35">
      <c r="A18" s="1" t="s">
        <v>66</v>
      </c>
      <c r="B18" s="18" t="s">
        <v>68</v>
      </c>
      <c r="C18" s="18">
        <v>8</v>
      </c>
      <c r="D18" s="18">
        <v>1</v>
      </c>
      <c r="E18" s="18">
        <v>0</v>
      </c>
      <c r="F18" s="18">
        <v>2</v>
      </c>
      <c r="G18" s="3" t="s">
        <v>35</v>
      </c>
      <c r="H18" s="3" t="s">
        <v>67</v>
      </c>
      <c r="I18" s="1">
        <v>3</v>
      </c>
      <c r="J18" s="1">
        <v>1</v>
      </c>
      <c r="K18" s="1">
        <v>1</v>
      </c>
      <c r="L18" s="1">
        <v>0</v>
      </c>
      <c r="M18" s="1">
        <v>1</v>
      </c>
      <c r="N18" s="1">
        <v>1</v>
      </c>
      <c r="O18" s="1">
        <v>1</v>
      </c>
      <c r="P18" s="1">
        <v>0</v>
      </c>
      <c r="Q18" s="1">
        <v>1</v>
      </c>
      <c r="R18" s="1">
        <v>1</v>
      </c>
      <c r="S18" s="1">
        <v>0</v>
      </c>
      <c r="T18" s="1">
        <v>0</v>
      </c>
      <c r="U18" s="1">
        <v>1</v>
      </c>
      <c r="V18" s="1">
        <v>0</v>
      </c>
      <c r="W18" s="1">
        <v>0</v>
      </c>
      <c r="X18" s="1">
        <v>0</v>
      </c>
      <c r="Y18" s="2">
        <v>1</v>
      </c>
      <c r="Z18" s="1">
        <f t="shared" si="0"/>
        <v>5</v>
      </c>
      <c r="AA18" s="1">
        <f t="shared" ref="AA18" si="10">SUM(P18:T18)</f>
        <v>2</v>
      </c>
      <c r="AB18" s="1">
        <f>SUM(U18:Y18)</f>
        <v>2</v>
      </c>
      <c r="AC18" s="1">
        <f t="shared" si="3"/>
        <v>9</v>
      </c>
      <c r="AD18" s="1">
        <f t="shared" si="4"/>
        <v>4.166666666666667</v>
      </c>
      <c r="AE18" s="1">
        <f t="shared" si="5"/>
        <v>2</v>
      </c>
      <c r="AF18" s="1">
        <f t="shared" si="6"/>
        <v>2</v>
      </c>
      <c r="AG18" s="1">
        <f t="shared" si="8"/>
        <v>2.7222222222222228</v>
      </c>
      <c r="AH18" s="1" t="s">
        <v>69</v>
      </c>
      <c r="AI18" s="21" t="s">
        <v>87</v>
      </c>
    </row>
    <row r="19" spans="1:40" s="1" customFormat="1" ht="72.5" x14ac:dyDescent="0.35">
      <c r="A19" s="1" t="s">
        <v>66</v>
      </c>
      <c r="B19" s="18" t="s">
        <v>71</v>
      </c>
      <c r="C19" s="18">
        <v>19</v>
      </c>
      <c r="D19" s="18">
        <v>0</v>
      </c>
      <c r="E19" s="18">
        <v>0</v>
      </c>
      <c r="F19" s="18">
        <v>0</v>
      </c>
      <c r="G19" s="3" t="s">
        <v>30</v>
      </c>
      <c r="H19" s="3" t="s">
        <v>72</v>
      </c>
      <c r="I19" s="1">
        <v>0.5</v>
      </c>
      <c r="J19" s="1">
        <v>1</v>
      </c>
      <c r="K19" s="1">
        <v>1</v>
      </c>
      <c r="L19" s="1">
        <v>0</v>
      </c>
      <c r="M19" s="1">
        <v>0</v>
      </c>
      <c r="N19" s="1">
        <v>0</v>
      </c>
      <c r="O19" s="1">
        <v>0</v>
      </c>
      <c r="P19" s="1">
        <v>0</v>
      </c>
      <c r="Q19" s="1">
        <v>0</v>
      </c>
      <c r="R19" s="1">
        <v>1</v>
      </c>
      <c r="S19" s="1">
        <v>0</v>
      </c>
      <c r="T19" s="1">
        <v>0</v>
      </c>
      <c r="U19" s="1">
        <v>0</v>
      </c>
      <c r="V19" s="1">
        <v>0</v>
      </c>
      <c r="W19" s="1">
        <v>0</v>
      </c>
      <c r="X19" s="1">
        <v>0</v>
      </c>
      <c r="Y19" s="2">
        <v>0</v>
      </c>
      <c r="Z19" s="1">
        <f t="shared" si="0"/>
        <v>2</v>
      </c>
      <c r="AA19" s="1">
        <f>SUM(P19:T19)</f>
        <v>1</v>
      </c>
      <c r="AB19" s="1">
        <f t="shared" si="2"/>
        <v>0</v>
      </c>
      <c r="AC19" s="1">
        <f t="shared" si="3"/>
        <v>3</v>
      </c>
      <c r="AD19" s="1">
        <f t="shared" si="4"/>
        <v>1.6666666666666665</v>
      </c>
      <c r="AE19" s="1">
        <f t="shared" si="5"/>
        <v>1</v>
      </c>
      <c r="AF19" s="1">
        <f t="shared" si="6"/>
        <v>0</v>
      </c>
      <c r="AG19" s="1">
        <f t="shared" si="8"/>
        <v>0.88888888888888884</v>
      </c>
      <c r="AI19" s="21" t="s">
        <v>88</v>
      </c>
    </row>
    <row r="20" spans="1:40" s="1" customFormat="1" x14ac:dyDescent="0.35">
      <c r="A20" s="1" t="s">
        <v>66</v>
      </c>
      <c r="B20" s="18" t="s">
        <v>73</v>
      </c>
      <c r="C20" s="18">
        <v>24</v>
      </c>
      <c r="D20" s="18">
        <v>0</v>
      </c>
      <c r="E20" s="18">
        <v>0</v>
      </c>
      <c r="F20" s="18">
        <v>0</v>
      </c>
      <c r="G20" s="3" t="s">
        <v>30</v>
      </c>
      <c r="H20" s="3" t="s">
        <v>70</v>
      </c>
      <c r="I20" s="1">
        <v>0</v>
      </c>
      <c r="J20" s="1">
        <v>1</v>
      </c>
      <c r="K20" s="1">
        <v>0</v>
      </c>
      <c r="L20" s="1">
        <v>0</v>
      </c>
      <c r="M20" s="1">
        <v>1</v>
      </c>
      <c r="N20" s="1">
        <v>0</v>
      </c>
      <c r="O20" s="1">
        <v>0</v>
      </c>
      <c r="P20" s="1">
        <v>0</v>
      </c>
      <c r="Q20" s="1">
        <v>0</v>
      </c>
      <c r="R20" s="1">
        <v>0</v>
      </c>
      <c r="S20" s="1">
        <v>0</v>
      </c>
      <c r="T20" s="1">
        <v>0</v>
      </c>
      <c r="U20" s="1">
        <v>0</v>
      </c>
      <c r="V20" s="1">
        <v>0</v>
      </c>
      <c r="W20" s="1">
        <v>0</v>
      </c>
      <c r="X20" s="1">
        <v>0</v>
      </c>
      <c r="Y20" s="2">
        <v>0</v>
      </c>
      <c r="Z20" s="1">
        <f t="shared" si="0"/>
        <v>2</v>
      </c>
      <c r="AA20" s="1">
        <f t="shared" ref="AA20:AA21" si="11">SUM(P20:T20)</f>
        <v>0</v>
      </c>
      <c r="AB20" s="1">
        <f t="shared" si="2"/>
        <v>0</v>
      </c>
      <c r="AC20" s="1">
        <f t="shared" si="3"/>
        <v>2</v>
      </c>
      <c r="AD20" s="1">
        <f t="shared" si="4"/>
        <v>1.6666666666666665</v>
      </c>
      <c r="AE20" s="1">
        <f t="shared" si="5"/>
        <v>0</v>
      </c>
      <c r="AF20" s="1">
        <f t="shared" si="6"/>
        <v>0</v>
      </c>
      <c r="AG20" s="1">
        <f t="shared" si="8"/>
        <v>0.55555555555555547</v>
      </c>
      <c r="AI20" s="21"/>
    </row>
    <row r="21" spans="1:40" s="1" customFormat="1" x14ac:dyDescent="0.35">
      <c r="A21" s="1" t="s">
        <v>66</v>
      </c>
      <c r="B21" s="18" t="s">
        <v>74</v>
      </c>
      <c r="C21" s="18">
        <v>26</v>
      </c>
      <c r="D21" s="18">
        <v>1</v>
      </c>
      <c r="E21" s="18">
        <v>0</v>
      </c>
      <c r="F21" s="18">
        <v>1</v>
      </c>
      <c r="G21" s="3" t="s">
        <v>35</v>
      </c>
      <c r="H21" s="3" t="s">
        <v>64</v>
      </c>
      <c r="I21" s="1">
        <v>2</v>
      </c>
      <c r="J21" s="1">
        <v>1</v>
      </c>
      <c r="K21" s="1">
        <v>1</v>
      </c>
      <c r="L21" s="1">
        <v>1</v>
      </c>
      <c r="M21" s="1">
        <v>1</v>
      </c>
      <c r="N21" s="1">
        <v>1</v>
      </c>
      <c r="O21" s="1">
        <v>0</v>
      </c>
      <c r="P21" s="1">
        <v>0</v>
      </c>
      <c r="Q21" s="1">
        <v>1</v>
      </c>
      <c r="R21" s="1">
        <v>1</v>
      </c>
      <c r="S21" s="1">
        <v>0</v>
      </c>
      <c r="T21" s="1">
        <v>0</v>
      </c>
      <c r="U21" s="1">
        <v>1</v>
      </c>
      <c r="V21" s="1">
        <v>1</v>
      </c>
      <c r="W21" s="1">
        <v>0</v>
      </c>
      <c r="X21" s="1">
        <v>1</v>
      </c>
      <c r="Y21" s="2">
        <v>0</v>
      </c>
      <c r="Z21" s="1">
        <f t="shared" si="0"/>
        <v>5</v>
      </c>
      <c r="AA21" s="1">
        <f t="shared" si="11"/>
        <v>2</v>
      </c>
      <c r="AB21" s="1">
        <f t="shared" si="2"/>
        <v>3</v>
      </c>
      <c r="AC21" s="1">
        <f t="shared" si="3"/>
        <v>10</v>
      </c>
      <c r="AD21" s="1">
        <f t="shared" si="4"/>
        <v>4.166666666666667</v>
      </c>
      <c r="AE21" s="1">
        <f t="shared" si="5"/>
        <v>2</v>
      </c>
      <c r="AF21" s="1">
        <f t="shared" si="6"/>
        <v>3</v>
      </c>
      <c r="AG21" s="1">
        <f t="shared" si="8"/>
        <v>3.0555555555555558</v>
      </c>
      <c r="AI21" s="21" t="s">
        <v>89</v>
      </c>
    </row>
    <row r="22" spans="1:40" x14ac:dyDescent="0.35">
      <c r="A22" s="1" t="s">
        <v>66</v>
      </c>
      <c r="B22" s="18" t="s">
        <v>75</v>
      </c>
      <c r="C22" s="18">
        <v>27</v>
      </c>
      <c r="D22" s="18">
        <v>1</v>
      </c>
      <c r="E22" s="18">
        <v>0</v>
      </c>
      <c r="F22" s="18">
        <v>2</v>
      </c>
      <c r="G22" s="3" t="s">
        <v>35</v>
      </c>
      <c r="H22" s="3" t="s">
        <v>64</v>
      </c>
      <c r="I22" s="1">
        <v>3</v>
      </c>
      <c r="J22" s="1">
        <v>1</v>
      </c>
      <c r="K22" s="1">
        <v>0</v>
      </c>
      <c r="L22" s="1">
        <v>1</v>
      </c>
      <c r="M22" s="1">
        <v>1</v>
      </c>
      <c r="N22" s="1">
        <v>1</v>
      </c>
      <c r="O22" s="1">
        <v>0</v>
      </c>
      <c r="P22" s="1">
        <v>0</v>
      </c>
      <c r="Q22" s="1">
        <v>1</v>
      </c>
      <c r="R22" s="1">
        <v>1</v>
      </c>
      <c r="S22" s="1">
        <v>0</v>
      </c>
      <c r="T22" s="1">
        <v>1</v>
      </c>
      <c r="U22" s="1">
        <v>0</v>
      </c>
      <c r="V22" s="1">
        <v>1</v>
      </c>
      <c r="W22" s="1">
        <v>0</v>
      </c>
      <c r="X22" s="1">
        <v>0</v>
      </c>
      <c r="Y22" s="2">
        <v>1</v>
      </c>
      <c r="Z22" s="1">
        <f>SUM(J22:O22)</f>
        <v>4</v>
      </c>
      <c r="AA22" s="1">
        <f t="shared" ref="AA22" si="12">SUM(P22:T22)</f>
        <v>3</v>
      </c>
      <c r="AB22" s="1">
        <f>SUM(U22:Y22)</f>
        <v>2</v>
      </c>
      <c r="AC22" s="1">
        <f>SUM(Z22:AB22)</f>
        <v>9</v>
      </c>
      <c r="AD22" s="1">
        <f>Z22/6*5</f>
        <v>3.333333333333333</v>
      </c>
      <c r="AE22" s="1">
        <f>AA22/5*5</f>
        <v>3</v>
      </c>
      <c r="AF22" s="1">
        <f xml:space="preserve"> AB22/5*5</f>
        <v>2</v>
      </c>
      <c r="AG22" s="1">
        <f>SUM(AD22:AF22)/3</f>
        <v>2.7777777777777772</v>
      </c>
      <c r="AH22" s="1"/>
      <c r="AI22" s="21"/>
      <c r="AJ22" s="1"/>
      <c r="AK22" s="1"/>
      <c r="AL22" s="1"/>
      <c r="AM22" s="1"/>
      <c r="AN22" s="1"/>
    </row>
  </sheetData>
  <mergeCells count="3">
    <mergeCell ref="J1:O1"/>
    <mergeCell ref="P1:T1"/>
    <mergeCell ref="U1:Y1"/>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F98E057C991C64EA8C44B2688F4F4E8" ma:contentTypeVersion="10" ma:contentTypeDescription="Crée un document." ma:contentTypeScope="" ma:versionID="205ac32a36de600e2ab9bca4f1502e82">
  <xsd:schema xmlns:xsd="http://www.w3.org/2001/XMLSchema" xmlns:xs="http://www.w3.org/2001/XMLSchema" xmlns:p="http://schemas.microsoft.com/office/2006/metadata/properties" xmlns:ns2="b0278717-252d-455f-9297-341259384352" xmlns:ns3="67fd2e6b-9b4b-488b-ae5d-884371a2c380" targetNamespace="http://schemas.microsoft.com/office/2006/metadata/properties" ma:root="true" ma:fieldsID="423e538afa53ae88b73bb7a22e6ab62a" ns2:_="" ns3:_="">
    <xsd:import namespace="b0278717-252d-455f-9297-341259384352"/>
    <xsd:import namespace="67fd2e6b-9b4b-488b-ae5d-884371a2c38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278717-252d-455f-9297-3412593843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e92e9244-4a4f-438c-9023-5bd3b64bf7c1"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7fd2e6b-9b4b-488b-ae5d-884371a2c38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5adbaf4-2676-4a07-87ea-a47db9bf60cc}" ma:internalName="TaxCatchAll" ma:showField="CatchAllData" ma:web="67fd2e6b-9b4b-488b-ae5d-884371a2c38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0278717-252d-455f-9297-341259384352">
      <Terms xmlns="http://schemas.microsoft.com/office/infopath/2007/PartnerControls"/>
    </lcf76f155ced4ddcb4097134ff3c332f>
    <TaxCatchAll xmlns="67fd2e6b-9b4b-488b-ae5d-884371a2c380" xsi:nil="true"/>
  </documentManagement>
</p:properties>
</file>

<file path=customXml/itemProps1.xml><?xml version="1.0" encoding="utf-8"?>
<ds:datastoreItem xmlns:ds="http://schemas.openxmlformats.org/officeDocument/2006/customXml" ds:itemID="{32CEAB00-EB88-42CB-8573-B14217434AB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278717-252d-455f-9297-341259384352"/>
    <ds:schemaRef ds:uri="67fd2e6b-9b4b-488b-ae5d-884371a2c38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5E6D151-5FDE-4AAE-92E5-7A931745F48E}">
  <ds:schemaRefs>
    <ds:schemaRef ds:uri="http://schemas.microsoft.com/sharepoint/v3/contenttype/forms"/>
  </ds:schemaRefs>
</ds:datastoreItem>
</file>

<file path=customXml/itemProps3.xml><?xml version="1.0" encoding="utf-8"?>
<ds:datastoreItem xmlns:ds="http://schemas.openxmlformats.org/officeDocument/2006/customXml" ds:itemID="{86E1DA6F-9828-4C90-B1DD-F6C5DDCFA33D}">
  <ds:schemaRefs>
    <ds:schemaRef ds:uri="http://schemas.microsoft.com/office/2006/metadata/properties"/>
    <ds:schemaRef ds:uri="http://schemas.microsoft.com/office/infopath/2007/PartnerControls"/>
    <ds:schemaRef ds:uri="b0278717-252d-455f-9297-341259384352"/>
    <ds:schemaRef ds:uri="67fd2e6b-9b4b-488b-ae5d-884371a2c38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Cross-scoring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 ESPIN I MARTI</dc:creator>
  <cp:keywords/>
  <dc:description/>
  <cp:lastModifiedBy>Maria ESPIN I MARTI</cp:lastModifiedBy>
  <cp:revision/>
  <dcterms:created xsi:type="dcterms:W3CDTF">2026-02-18T12:47:19Z</dcterms:created>
  <dcterms:modified xsi:type="dcterms:W3CDTF">2026-04-27T15:06:31Z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0x0101006F98E057C991C64EA8C44B2688F4F4E8</vt:lpwstr>
  </property>
  <property fmtid="{D5CDD505-2E9C-101B-9397-08002B2CF9AE}" pid="3" name="MediaServiceImageTags">
    <vt:lpwstr/>
  </property>
</Properties>
</file>