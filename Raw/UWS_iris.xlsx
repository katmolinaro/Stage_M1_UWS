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atia\Desktop\STAGE\M1\Travail\R\Raw\"/>
    </mc:Choice>
  </mc:AlternateContent>
  <xr:revisionPtr revIDLastSave="0" documentId="13_ncr:1_{E6783D94-E0D6-40CD-81F8-D14E750F09C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V1_originale" sheetId="1" r:id="rId1"/>
    <sheet name="V1_iris_réattribués" sheetId="2" r:id="rId2"/>
    <sheet name="V1_sta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9" i="3" l="1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3" i="1"/>
  <c r="C3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" i="1"/>
</calcChain>
</file>

<file path=xl/sharedStrings.xml><?xml version="1.0" encoding="utf-8"?>
<sst xmlns="http://schemas.openxmlformats.org/spreadsheetml/2006/main" count="2944" uniqueCount="385">
  <si>
    <t>ID</t>
  </si>
  <si>
    <t>48.87498, 2.38588</t>
  </si>
  <si>
    <t>48.87539, 2.38725</t>
  </si>
  <si>
    <t>48.89055, 2.38671</t>
  </si>
  <si>
    <t>48.87647, 2.38708</t>
  </si>
  <si>
    <t>48.87679, 2.38535</t>
  </si>
  <si>
    <t>48.87737, 2.38683</t>
  </si>
  <si>
    <t>48.87811, 2.38777</t>
  </si>
  <si>
    <t>48.87823, 2.38613</t>
  </si>
  <si>
    <t>48.87939, 2.38529</t>
  </si>
  <si>
    <t>48.8795, 2.38782</t>
  </si>
  <si>
    <t>48.88, 2.39007</t>
  </si>
  <si>
    <t>48.87988, 2.39167</t>
  </si>
  <si>
    <t>48.88072, 2.39276</t>
  </si>
  <si>
    <t>48.88147, 2.39359</t>
  </si>
  <si>
    <t>48.88211, 2.3926</t>
  </si>
  <si>
    <t>48.88299, 2.39316</t>
  </si>
  <si>
    <t>48.88383, 2.39478</t>
  </si>
  <si>
    <t>48.88451, 2.39577</t>
  </si>
  <si>
    <t>48.88549, 2.39554</t>
  </si>
  <si>
    <t>48.88493, 2.39386</t>
  </si>
  <si>
    <t>48.88568, 2.38995</t>
  </si>
  <si>
    <t>48.89808, 2.38228</t>
  </si>
  <si>
    <t>48.87612, 2.38361</t>
  </si>
  <si>
    <t>48.88919, 2.3785</t>
  </si>
  <si>
    <t>48.87727, 2.3924</t>
  </si>
  <si>
    <t>48.90077, 2.38712</t>
  </si>
  <si>
    <t>48.88012, 2.3985</t>
  </si>
  <si>
    <t>48.89002, 2.39686</t>
  </si>
  <si>
    <t>48.8759, 2.37281</t>
  </si>
  <si>
    <t>48.8838, 2.36893</t>
  </si>
  <si>
    <t>48.88599, 2.3981</t>
  </si>
  <si>
    <t>48.88268, 2.3901</t>
  </si>
  <si>
    <t>48.87804, 2.40557</t>
  </si>
  <si>
    <t>48.89728, 2.39237</t>
  </si>
  <si>
    <t>48.88939, 2.39882</t>
  </si>
  <si>
    <t>48.88572, 2.37713</t>
  </si>
  <si>
    <t>48.88886, 2.36774</t>
  </si>
  <si>
    <t>Coordonnees</t>
  </si>
  <si>
    <t>(Even)</t>
  </si>
  <si>
    <t>(Odd)</t>
  </si>
  <si>
    <t>October 2025</t>
  </si>
  <si>
    <t>Even</t>
  </si>
  <si>
    <t>Odd</t>
  </si>
  <si>
    <t>/</t>
  </si>
  <si>
    <t xml:space="preserve">Area under construction, looks abandoned , very accidented ground </t>
  </si>
  <si>
    <t>On the side of the point, almost nothing. But across the road, there's a "terre-plein" that is mowed, with trees. Because it is not a "walkable" street, I counted the side with almost nothing.</t>
  </si>
  <si>
    <t>Grand boulevard, avec un terre-plein piétion au centre, ce que je vais prendre puisque qu'il y a une zone amménagée</t>
  </si>
  <si>
    <t>Point au centre d'uncarrefour, choisit arbitrairement la route allant vers le Sud</t>
  </si>
  <si>
    <t>Des parcs entretenus sur les côtés de la petite route</t>
  </si>
  <si>
    <t>March 2023</t>
  </si>
  <si>
    <t>July 2022</t>
  </si>
  <si>
    <t>April 2025</t>
  </si>
  <si>
    <t>Side</t>
  </si>
  <si>
    <t>Date</t>
  </si>
  <si>
    <t>Complexity</t>
  </si>
  <si>
    <t>Total wildness</t>
  </si>
  <si>
    <t>Comments</t>
  </si>
  <si>
    <t>Quantity</t>
  </si>
  <si>
    <t>first_impresion</t>
  </si>
  <si>
    <t>Private_areas</t>
  </si>
  <si>
    <t>Vegetation</t>
  </si>
  <si>
    <t>Seedlings</t>
  </si>
  <si>
    <t>Reproduction_stage</t>
  </si>
  <si>
    <t>Dead_stages</t>
  </si>
  <si>
    <t>Decomposition</t>
  </si>
  <si>
    <t>Different strata</t>
  </si>
  <si>
    <t>Colours</t>
  </si>
  <si>
    <t>Topography</t>
  </si>
  <si>
    <t>Spatial_distribution</t>
  </si>
  <si>
    <t>Margins</t>
  </si>
  <si>
    <t>Overgrown</t>
  </si>
  <si>
    <t>Structures</t>
  </si>
  <si>
    <t>Pruning</t>
  </si>
  <si>
    <t>Elements</t>
  </si>
  <si>
    <t>Planting</t>
  </si>
  <si>
    <t>Litter</t>
  </si>
  <si>
    <t>Complexity_cumulative</t>
  </si>
  <si>
    <t>Management_cumulative</t>
  </si>
  <si>
    <t>Spatial_cumulative</t>
  </si>
  <si>
    <t>Total wildness_cumulative</t>
  </si>
  <si>
    <t>Complexity_total</t>
  </si>
  <si>
    <t>Spatial_total</t>
  </si>
  <si>
    <t>Management_total</t>
  </si>
  <si>
    <t>Number</t>
  </si>
  <si>
    <t>Place</t>
  </si>
  <si>
    <t>NA</t>
  </si>
  <si>
    <t>fid_2</t>
  </si>
  <si>
    <t>code_insee</t>
  </si>
  <si>
    <t>code_iris</t>
  </si>
  <si>
    <t>_code_dep</t>
  </si>
  <si>
    <t>_nom_iris</t>
  </si>
  <si>
    <t>_type_iris</t>
  </si>
  <si>
    <t>_revenus_m</t>
  </si>
  <si>
    <t>_pop_tot21</t>
  </si>
  <si>
    <t>_pop_fr21</t>
  </si>
  <si>
    <t>_pop_etr21</t>
  </si>
  <si>
    <t>_pop_imm21</t>
  </si>
  <si>
    <t>_area_iris</t>
  </si>
  <si>
    <t>_id_row</t>
  </si>
  <si>
    <t>_area_TV_b</t>
  </si>
  <si>
    <t>_%area_TV_</t>
  </si>
  <si>
    <t>revenus_me</t>
  </si>
  <si>
    <t>_d_iris_GI</t>
  </si>
  <si>
    <t>_d_iris_un</t>
  </si>
  <si>
    <t>75119</t>
  </si>
  <si>
    <t>751197601</t>
  </si>
  <si>
    <t>75</t>
  </si>
  <si>
    <t>Combat 1</t>
  </si>
  <si>
    <t>H</t>
  </si>
  <si>
    <t>751197602</t>
  </si>
  <si>
    <t>Combat 2</t>
  </si>
  <si>
    <t>751197515</t>
  </si>
  <si>
    <t>Amérique 15</t>
  </si>
  <si>
    <t>751197514</t>
  </si>
  <si>
    <t>Amérique 14</t>
  </si>
  <si>
    <t>751197517</t>
  </si>
  <si>
    <t>Amérique 17</t>
  </si>
  <si>
    <t>751197518</t>
  </si>
  <si>
    <t>Amérique 18</t>
  </si>
  <si>
    <t>751197520</t>
  </si>
  <si>
    <t>Amérique 20</t>
  </si>
  <si>
    <t>751197413</t>
  </si>
  <si>
    <t>Pont de Flandre 13</t>
  </si>
  <si>
    <t>A</t>
  </si>
  <si>
    <t>751197314</t>
  </si>
  <si>
    <t>Villette 14</t>
  </si>
  <si>
    <t>751197509</t>
  </si>
  <si>
    <t>Amérique 9</t>
  </si>
  <si>
    <t>751197401</t>
  </si>
  <si>
    <t>93</t>
  </si>
  <si>
    <t>Pont de Flandre 1</t>
  </si>
  <si>
    <t>751197513</t>
  </si>
  <si>
    <t>Amérique 13</t>
  </si>
  <si>
    <t>751197608</t>
  </si>
  <si>
    <t>Combat 8</t>
  </si>
  <si>
    <t>751197388</t>
  </si>
  <si>
    <t>Bassin de la Villette</t>
  </si>
  <si>
    <t>D</t>
  </si>
  <si>
    <t>751197519</t>
  </si>
  <si>
    <t>Amérique 19</t>
  </si>
  <si>
    <t>751197516</t>
  </si>
  <si>
    <t>Amérique 16</t>
  </si>
  <si>
    <t>751197525</t>
  </si>
  <si>
    <t>Amérique 25</t>
  </si>
  <si>
    <t>751197303</t>
  </si>
  <si>
    <t>Villette 3</t>
  </si>
  <si>
    <t>751197308</t>
  </si>
  <si>
    <t>Villette 8</t>
  </si>
  <si>
    <t>751197411</t>
  </si>
  <si>
    <t>Pont de Flandre 11</t>
  </si>
  <si>
    <t>48.8489, 2.30459</t>
  </si>
  <si>
    <t>48.8576, 2.30496</t>
  </si>
  <si>
    <t>48.85143, 2.3138</t>
  </si>
  <si>
    <t>48.84929, 2.31909</t>
  </si>
  <si>
    <t>48.85878, 2.30344</t>
  </si>
  <si>
    <t>48.85627, 2.30508</t>
  </si>
  <si>
    <t>48.85575, 2.31666</t>
  </si>
  <si>
    <t>48.85041, 2.31423</t>
  </si>
  <si>
    <t>48.85007, 2.31233</t>
  </si>
  <si>
    <t>48.85345, 2.31937</t>
  </si>
  <si>
    <t>48.85052, 2.31954</t>
  </si>
  <si>
    <t>48.858, 2.32263</t>
  </si>
  <si>
    <t>48.85384, 2.31211</t>
  </si>
  <si>
    <t>48.86062, 2.32512</t>
  </si>
  <si>
    <t>48.86239, 2.30095</t>
  </si>
  <si>
    <t>48.84871, 2.30883</t>
  </si>
  <si>
    <t>48.85385, 2.31036</t>
  </si>
  <si>
    <t>48.85407, 2.30701</t>
  </si>
  <si>
    <t>48.858, 2.3199</t>
  </si>
  <si>
    <t>48.85798, 2.31521</t>
  </si>
  <si>
    <t>48.85307, 2.30936</t>
  </si>
  <si>
    <t>48.85859, 2.30032</t>
  </si>
  <si>
    <t>48.85651, 2.30105</t>
  </si>
  <si>
    <t>48.86135, 2.32022</t>
  </si>
  <si>
    <t>48.86041, 2.30275</t>
  </si>
  <si>
    <t>48.85511, 2.296</t>
  </si>
  <si>
    <t>48.85626, 2.29503</t>
  </si>
  <si>
    <t>48.85067, 2.32519</t>
  </si>
  <si>
    <t>48.86009, 2.29727</t>
  </si>
  <si>
    <t>48.85736, 2.31821</t>
  </si>
  <si>
    <t>May 2023</t>
  </si>
  <si>
    <t>April 2024</t>
  </si>
  <si>
    <t>Along a parc</t>
  </si>
  <si>
    <t>June 2024</t>
  </si>
  <si>
    <t>Vegetated areas but also a lot of spontaneous vegetation ! So there are the advantages of spontaneous vegetation as well, like saying unplanted species</t>
  </si>
  <si>
    <t>June 2022</t>
  </si>
  <si>
    <t>Il y a un terre-plein, mais non piéton… Je vais ne pas le compter, puisque c'est un cas assez particulier, plus à destination des.. Voitures ? De toute facon, il y a aussi un espace un peu végétaliser du côté piétion</t>
  </si>
  <si>
    <t>May 2019</t>
  </si>
  <si>
    <t>September 2025</t>
  </si>
  <si>
    <t>Encore une fois, terre plein non piéton, donc prend le trottoir</t>
  </si>
  <si>
    <t>both</t>
  </si>
  <si>
    <t>May 2024</t>
  </si>
  <si>
    <t>Terre-plein semblant non piéton (marche difficile), mais avec des bancs… donc ok</t>
  </si>
  <si>
    <t>May 2022</t>
  </si>
  <si>
    <t>GRIS mais proche d'un parc, très proche donc de quelques végétation spontannée</t>
  </si>
  <si>
    <t>une seule petite plante spontannée</t>
  </si>
  <si>
    <t>75115</t>
  </si>
  <si>
    <t>751155812</t>
  </si>
  <si>
    <t>Necker 12</t>
  </si>
  <si>
    <t>75107</t>
  </si>
  <si>
    <t>751072804</t>
  </si>
  <si>
    <t>Gros Caillou 4</t>
  </si>
  <si>
    <t>751072706</t>
  </si>
  <si>
    <t>École Militaire 6</t>
  </si>
  <si>
    <t>751072701</t>
  </si>
  <si>
    <t>École Militaire 1</t>
  </si>
  <si>
    <t>751072808</t>
  </si>
  <si>
    <t>Gros Caillou 8</t>
  </si>
  <si>
    <t>751072803</t>
  </si>
  <si>
    <t>Gros Caillou 3</t>
  </si>
  <si>
    <t>751072602</t>
  </si>
  <si>
    <t>Invalides 2</t>
  </si>
  <si>
    <t>751072702</t>
  </si>
  <si>
    <t>École Militaire 2</t>
  </si>
  <si>
    <t>751072601</t>
  </si>
  <si>
    <t>Invalides 1</t>
  </si>
  <si>
    <t>751072504</t>
  </si>
  <si>
    <t>Saint-Thomas d'Aquin 4</t>
  </si>
  <si>
    <t>751072606</t>
  </si>
  <si>
    <t>Invalides 6</t>
  </si>
  <si>
    <t>751072604</t>
  </si>
  <si>
    <t>Invalides 4</t>
  </si>
  <si>
    <t>751072899</t>
  </si>
  <si>
    <t>Seine et Berges 3</t>
  </si>
  <si>
    <t>751072703</t>
  </si>
  <si>
    <t>École Militaire 3</t>
  </si>
  <si>
    <t>751072705</t>
  </si>
  <si>
    <t>École Militaire 5</t>
  </si>
  <si>
    <t>751072806</t>
  </si>
  <si>
    <t>Gros Caillou 6</t>
  </si>
  <si>
    <t>751072810</t>
  </si>
  <si>
    <t>Gros Caillou 10</t>
  </si>
  <si>
    <t>751072807</t>
  </si>
  <si>
    <t>Gros Caillou 7</t>
  </si>
  <si>
    <t>75106</t>
  </si>
  <si>
    <t>751062309</t>
  </si>
  <si>
    <t>Notre-Dame des Champs 9</t>
  </si>
  <si>
    <t>751072809</t>
  </si>
  <si>
    <t>Gros Caillou 9</t>
  </si>
  <si>
    <t>48.87554, 2.2497</t>
  </si>
  <si>
    <t>48.88255, 2.27728</t>
  </si>
  <si>
    <t>48.8856, 2.25705</t>
  </si>
  <si>
    <t>48.88781, 2.26185</t>
  </si>
  <si>
    <t>48.88028, 2.27627</t>
  </si>
  <si>
    <t>48.88053, 2.25867</t>
  </si>
  <si>
    <t>48.89029, 2.26096</t>
  </si>
  <si>
    <t>48.89634, 2.27307</t>
  </si>
  <si>
    <t>48.88245, 2.26877</t>
  </si>
  <si>
    <t>48.88944, 2.26187</t>
  </si>
  <si>
    <t>48.88133, 2.25475</t>
  </si>
  <si>
    <t>48.88411, 2.25753</t>
  </si>
  <si>
    <t>48.88229, 2.25879</t>
  </si>
  <si>
    <t>48.88113, 2.27339</t>
  </si>
  <si>
    <t>48.88, 2.2508</t>
  </si>
  <si>
    <t>48.89397, 2.27274</t>
  </si>
  <si>
    <t>48.88903, 2.26323</t>
  </si>
  <si>
    <t>48.88675, 2.27342</t>
  </si>
  <si>
    <t>48.89082, 2.27847</t>
  </si>
  <si>
    <t>48.88044, 2.26174</t>
  </si>
  <si>
    <t>48.88379, 2.27168</t>
  </si>
  <si>
    <t>48.87595, 2.2479</t>
  </si>
  <si>
    <t>48.88606, 2.2685</t>
  </si>
  <si>
    <t>NEU</t>
  </si>
  <si>
    <t>April 2022</t>
  </si>
  <si>
    <t>June 2014</t>
  </si>
  <si>
    <t>July 2024</t>
  </si>
  <si>
    <t>April 2023</t>
  </si>
  <si>
    <t>November 2024</t>
  </si>
  <si>
    <t>Just trees.</t>
  </si>
  <si>
    <t>September 2017</t>
  </si>
  <si>
    <t>92051</t>
  </si>
  <si>
    <t>920510102</t>
  </si>
  <si>
    <t>92</t>
  </si>
  <si>
    <t>Saint-James Madrid 1</t>
  </si>
  <si>
    <t>920510302</t>
  </si>
  <si>
    <t>Plaine des Sablons 2</t>
  </si>
  <si>
    <t>920510308</t>
  </si>
  <si>
    <t>Plaine des Sablons 8</t>
  </si>
  <si>
    <t>920510401</t>
  </si>
  <si>
    <t>Parc de Neuilly 1</t>
  </si>
  <si>
    <t>920510104</t>
  </si>
  <si>
    <t>Saint-James Madrid 3</t>
  </si>
  <si>
    <t>920510405</t>
  </si>
  <si>
    <t>Parc de Neuilly 5</t>
  </si>
  <si>
    <t>920510305</t>
  </si>
  <si>
    <t>Plaine des Sablons 5</t>
  </si>
  <si>
    <t>920510101</t>
  </si>
  <si>
    <t>Saint-James</t>
  </si>
  <si>
    <t>920510303</t>
  </si>
  <si>
    <t>Plaine des Sablons 3</t>
  </si>
  <si>
    <t>920510103</t>
  </si>
  <si>
    <t>Saint-James Madrid 2</t>
  </si>
  <si>
    <t>920510403</t>
  </si>
  <si>
    <t>Parc de Neuilly 3</t>
  </si>
  <si>
    <t>920510408</t>
  </si>
  <si>
    <t>Parc de Neuilly 8</t>
  </si>
  <si>
    <t>920510201</t>
  </si>
  <si>
    <t>Charles Laffitte 1</t>
  </si>
  <si>
    <t>IVR</t>
  </si>
  <si>
    <t>48.80875, 2.3893</t>
  </si>
  <si>
    <t>48.81793, 2.37384</t>
  </si>
  <si>
    <t>48.81623, 2.36802</t>
  </si>
  <si>
    <t>48.81353, 2.40827</t>
  </si>
  <si>
    <t>48.80725, 2.37184</t>
  </si>
  <si>
    <t>48.8185, 2.39553</t>
  </si>
  <si>
    <t>48.82242, 2.39246</t>
  </si>
  <si>
    <t>48.80835, 2.38366</t>
  </si>
  <si>
    <t>48.80315, 2.39366</t>
  </si>
  <si>
    <t>48.80892, 2.37373</t>
  </si>
  <si>
    <t>48.81641, 2.38003</t>
  </si>
  <si>
    <t>48.82118, 2.37906</t>
  </si>
  <si>
    <t>48.80265, 2.39627</t>
  </si>
  <si>
    <t>48.82075, 2.39542</t>
  </si>
  <si>
    <t>48.81674, 2.38563</t>
  </si>
  <si>
    <t>48.80515, 2.38316</t>
  </si>
  <si>
    <t>48.82147, 2.39405</t>
  </si>
  <si>
    <t>48.81535, 2.40915</t>
  </si>
  <si>
    <t>48.8112, 2.38404</t>
  </si>
  <si>
    <t>48.81939, 2.37371</t>
  </si>
  <si>
    <t>48.80982, 2.38741</t>
  </si>
  <si>
    <t>August 2022</t>
  </si>
  <si>
    <t>fun fact : there are many wild Ailanthus altissima ( a tree considered as invasive in France)</t>
  </si>
  <si>
    <t>July 2025</t>
  </si>
  <si>
    <t>Spontanneous and planted</t>
  </si>
  <si>
    <t>Seine</t>
  </si>
  <si>
    <t>October 2024</t>
  </si>
  <si>
    <t>On each side, a vegetated area, but one is taken care of and not really the other (seine)</t>
  </si>
  <si>
    <t>Habitations</t>
  </si>
  <si>
    <t>Ailanthus altissima</t>
  </si>
  <si>
    <t>94041</t>
  </si>
  <si>
    <t>940410106</t>
  </si>
  <si>
    <t>94</t>
  </si>
  <si>
    <t>Parmentier Nord</t>
  </si>
  <si>
    <t>940410203</t>
  </si>
  <si>
    <t>Petit Ivry Sud</t>
  </si>
  <si>
    <t>940410202</t>
  </si>
  <si>
    <t>Petit Ivry Nord</t>
  </si>
  <si>
    <t>940410304</t>
  </si>
  <si>
    <t>Ivry Port Sud</t>
  </si>
  <si>
    <t>940410201</t>
  </si>
  <si>
    <t>Verollot</t>
  </si>
  <si>
    <t>940410301</t>
  </si>
  <si>
    <t>Ivry Port Nord</t>
  </si>
  <si>
    <t>940410104</t>
  </si>
  <si>
    <t>Fort</t>
  </si>
  <si>
    <t>940410206</t>
  </si>
  <si>
    <t>Plateau Nord</t>
  </si>
  <si>
    <t>940410208</t>
  </si>
  <si>
    <t>Danton Ouest</t>
  </si>
  <si>
    <t>75113</t>
  </si>
  <si>
    <t>751135001</t>
  </si>
  <si>
    <t>Gare 1</t>
  </si>
  <si>
    <t>940410109</t>
  </si>
  <si>
    <t>Parmentier Sud</t>
  </si>
  <si>
    <t>940410211</t>
  </si>
  <si>
    <t>Danton Est</t>
  </si>
  <si>
    <t>940410101</t>
  </si>
  <si>
    <t>Plateau Sud</t>
  </si>
  <si>
    <t>940410302</t>
  </si>
  <si>
    <t>Ivry Port Centre</t>
  </si>
  <si>
    <t>940410108</t>
  </si>
  <si>
    <t>Centre Ville Nord</t>
  </si>
  <si>
    <t>Id_point_qgis</t>
  </si>
  <si>
    <t>(test)6</t>
  </si>
  <si>
    <t>(test)2</t>
  </si>
  <si>
    <t>(test)8</t>
  </si>
  <si>
    <t>(test)3</t>
  </si>
  <si>
    <t>(test)4</t>
  </si>
  <si>
    <t>(test)7</t>
  </si>
  <si>
    <t>(test)20</t>
  </si>
  <si>
    <t>(test)19</t>
  </si>
  <si>
    <t>(test)5</t>
  </si>
  <si>
    <t>(test)17</t>
  </si>
  <si>
    <t>(test)15</t>
  </si>
  <si>
    <t>(test)16</t>
  </si>
  <si>
    <t>(test)14</t>
  </si>
  <si>
    <t>(test)18</t>
  </si>
  <si>
    <t>(test)23</t>
  </si>
  <si>
    <t>(test)21</t>
  </si>
  <si>
    <t>(test)12</t>
  </si>
  <si>
    <t>(test)11</t>
  </si>
  <si>
    <t>(test)0</t>
  </si>
  <si>
    <t>(test)10</t>
  </si>
  <si>
    <t>Hôpital Saint-Louis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</si>
</sst>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rgb="FF000000"/>
      <name val="Calibri"/>
      <family val="2"/>
      <scheme val="minor"/>
    </font>
    <font>
      <sz val="11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DCB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0" fillId="2" borderId="0" xfId="0" applyFill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1" fillId="2" borderId="0" xfId="0" applyFont="1" applyFill="1"/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CBE8"/>
      <color rgb="FFFEE8F8"/>
      <color rgb="FFFDD5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2"/>
  <sheetViews>
    <sheetView zoomScale="55" zoomScaleNormal="55" workbookViewId="0">
      <pane xSplit="3" topLeftCell="D1" activePane="topRight" state="frozen"/>
      <selection pane="topRight" activeCell="AL15" sqref="AL15"/>
    </sheetView>
  </sheetViews>
  <sheetFormatPr defaultRowHeight="14.4" x14ac:dyDescent="0.3"/>
  <cols>
    <col min="1" max="1" width="5.88671875" bestFit="1" customWidth="1"/>
    <col min="2" max="2" width="8.88671875" style="16"/>
    <col min="4" max="4" width="17.5546875" bestFit="1" customWidth="1"/>
    <col min="5" max="5" width="8.33203125" style="19" customWidth="1"/>
    <col min="6" max="6" width="11.77734375" style="19" bestFit="1" customWidth="1"/>
    <col min="7" max="7" width="7.88671875" style="19" customWidth="1"/>
    <col min="9" max="9" width="8" customWidth="1"/>
    <col min="34" max="34" width="12.77734375" bestFit="1" customWidth="1"/>
    <col min="35" max="35" width="12.6640625" customWidth="1"/>
    <col min="36" max="36" width="12.44140625" style="2" bestFit="1" customWidth="1"/>
    <col min="38" max="38" width="10.44140625" bestFit="1" customWidth="1"/>
    <col min="39" max="39" width="10" bestFit="1" customWidth="1"/>
    <col min="40" max="40" width="10.33203125" bestFit="1" customWidth="1"/>
    <col min="41" max="41" width="11.21875" bestFit="1" customWidth="1"/>
  </cols>
  <sheetData>
    <row r="1" spans="1:54" s="2" customFormat="1" ht="15.6" x14ac:dyDescent="0.3">
      <c r="A1" s="3" t="s">
        <v>85</v>
      </c>
      <c r="B1" s="17" t="s">
        <v>84</v>
      </c>
      <c r="C1" s="2" t="s">
        <v>0</v>
      </c>
      <c r="D1" s="2" t="s">
        <v>38</v>
      </c>
      <c r="E1" s="20" t="s">
        <v>58</v>
      </c>
      <c r="F1" s="20" t="s">
        <v>60</v>
      </c>
      <c r="G1" s="20" t="s">
        <v>61</v>
      </c>
      <c r="H1" s="2" t="s">
        <v>53</v>
      </c>
      <c r="I1" s="2" t="s">
        <v>54</v>
      </c>
      <c r="J1" s="2" t="s">
        <v>59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  <c r="S1" s="2" t="s">
        <v>70</v>
      </c>
      <c r="T1" s="2" t="s">
        <v>71</v>
      </c>
      <c r="U1" s="2" t="s">
        <v>55</v>
      </c>
      <c r="V1" s="2" t="s">
        <v>72</v>
      </c>
      <c r="W1" s="2" t="s">
        <v>73</v>
      </c>
      <c r="X1" s="2" t="s">
        <v>74</v>
      </c>
      <c r="Y1" s="2" t="s">
        <v>75</v>
      </c>
      <c r="Z1" s="2" t="s">
        <v>76</v>
      </c>
      <c r="AA1" s="2" t="s">
        <v>77</v>
      </c>
      <c r="AB1" s="2" t="s">
        <v>79</v>
      </c>
      <c r="AC1" s="2" t="s">
        <v>78</v>
      </c>
      <c r="AD1" s="2" t="s">
        <v>80</v>
      </c>
      <c r="AE1" s="2" t="s">
        <v>81</v>
      </c>
      <c r="AF1" s="2" t="s">
        <v>82</v>
      </c>
      <c r="AG1" s="2" t="s">
        <v>83</v>
      </c>
      <c r="AH1" s="2" t="s">
        <v>56</v>
      </c>
      <c r="AI1" s="2" t="s">
        <v>57</v>
      </c>
      <c r="AJ1" s="2" t="s">
        <v>363</v>
      </c>
      <c r="AK1" s="2" t="s">
        <v>87</v>
      </c>
      <c r="AL1" s="2" t="s">
        <v>88</v>
      </c>
      <c r="AM1" s="2" t="s">
        <v>89</v>
      </c>
      <c r="AN1" s="2" t="s">
        <v>90</v>
      </c>
      <c r="AO1" s="2" t="s">
        <v>91</v>
      </c>
      <c r="AP1" s="2" t="s">
        <v>92</v>
      </c>
      <c r="AQ1" s="2" t="s">
        <v>93</v>
      </c>
      <c r="AR1" s="2" t="s">
        <v>94</v>
      </c>
      <c r="AS1" s="2" t="s">
        <v>95</v>
      </c>
      <c r="AT1" s="2" t="s">
        <v>96</v>
      </c>
      <c r="AU1" s="2" t="s">
        <v>97</v>
      </c>
      <c r="AV1" s="2" t="s">
        <v>98</v>
      </c>
      <c r="AW1" s="2" t="s">
        <v>99</v>
      </c>
      <c r="AX1" s="2" t="s">
        <v>100</v>
      </c>
      <c r="AY1" s="2" t="s">
        <v>101</v>
      </c>
      <c r="AZ1" s="2" t="s">
        <v>102</v>
      </c>
      <c r="BA1" s="2" t="s">
        <v>103</v>
      </c>
      <c r="BB1" s="2" t="s">
        <v>104</v>
      </c>
    </row>
    <row r="2" spans="1:54" x14ac:dyDescent="0.3">
      <c r="A2" s="6">
        <v>19</v>
      </c>
      <c r="B2" s="8">
        <v>1</v>
      </c>
      <c r="C2" s="7" t="str">
        <f>A2&amp;"_"&amp;B2</f>
        <v>19_1</v>
      </c>
      <c r="D2" s="8" t="s">
        <v>1</v>
      </c>
      <c r="E2" s="8" t="s">
        <v>86</v>
      </c>
      <c r="F2" s="8" t="s">
        <v>86</v>
      </c>
      <c r="G2" s="8" t="s">
        <v>86</v>
      </c>
      <c r="H2" s="6" t="s">
        <v>39</v>
      </c>
      <c r="I2" s="6" t="s">
        <v>86</v>
      </c>
      <c r="J2" s="6">
        <v>0</v>
      </c>
      <c r="K2" s="6">
        <v>1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</v>
      </c>
      <c r="S2" s="10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10">
        <v>1</v>
      </c>
      <c r="Z2" s="10">
        <v>1</v>
      </c>
      <c r="AA2" s="6">
        <v>1</v>
      </c>
      <c r="AB2" s="6">
        <v>1</v>
      </c>
      <c r="AC2" s="6">
        <v>2</v>
      </c>
      <c r="AD2" s="6">
        <v>4</v>
      </c>
      <c r="AE2" s="6">
        <v>0.83333333300000001</v>
      </c>
      <c r="AF2" s="6" t="s">
        <v>86</v>
      </c>
      <c r="AG2" s="6">
        <v>2</v>
      </c>
      <c r="AH2" s="6">
        <v>1.2777777779999999</v>
      </c>
      <c r="AI2" s="6" t="s">
        <v>86</v>
      </c>
      <c r="AJ2" s="9" t="s">
        <v>364</v>
      </c>
      <c r="AK2">
        <v>15482</v>
      </c>
      <c r="AL2" t="s">
        <v>105</v>
      </c>
      <c r="AM2" t="s">
        <v>106</v>
      </c>
      <c r="AN2" t="s">
        <v>107</v>
      </c>
      <c r="AO2" t="s">
        <v>108</v>
      </c>
      <c r="AP2" t="s">
        <v>109</v>
      </c>
      <c r="AQ2">
        <v>30940</v>
      </c>
      <c r="AR2">
        <v>2522</v>
      </c>
      <c r="AS2">
        <v>2174</v>
      </c>
      <c r="AT2">
        <v>348</v>
      </c>
      <c r="AU2">
        <v>445</v>
      </c>
      <c r="AV2">
        <v>62599</v>
      </c>
      <c r="AW2">
        <v>2850</v>
      </c>
      <c r="AX2">
        <v>11777</v>
      </c>
      <c r="AY2">
        <v>19</v>
      </c>
      <c r="AZ2">
        <v>23713</v>
      </c>
      <c r="BA2">
        <v>0.495</v>
      </c>
      <c r="BB2">
        <v>4.7</v>
      </c>
    </row>
    <row r="3" spans="1:54" s="5" customFormat="1" x14ac:dyDescent="0.3">
      <c r="A3" s="11">
        <v>19</v>
      </c>
      <c r="B3" s="12">
        <v>2</v>
      </c>
      <c r="C3" s="15" t="str">
        <f t="shared" ref="C3:C37" si="0">A3&amp;"_"&amp;B3</f>
        <v>19_2</v>
      </c>
      <c r="D3" s="12" t="s">
        <v>2</v>
      </c>
      <c r="E3" s="12" t="s">
        <v>86</v>
      </c>
      <c r="F3" s="12" t="s">
        <v>86</v>
      </c>
      <c r="G3" s="12" t="s">
        <v>86</v>
      </c>
      <c r="H3" s="13" t="s">
        <v>86</v>
      </c>
      <c r="I3" s="13" t="s">
        <v>86</v>
      </c>
      <c r="J3" s="13" t="s">
        <v>86</v>
      </c>
      <c r="K3" s="13" t="s">
        <v>86</v>
      </c>
      <c r="L3" s="13" t="s">
        <v>86</v>
      </c>
      <c r="M3" s="13" t="s">
        <v>86</v>
      </c>
      <c r="N3" s="13" t="s">
        <v>86</v>
      </c>
      <c r="O3" s="13" t="s">
        <v>86</v>
      </c>
      <c r="P3" s="13" t="s">
        <v>86</v>
      </c>
      <c r="Q3" s="13" t="s">
        <v>86</v>
      </c>
      <c r="R3" s="13" t="s">
        <v>86</v>
      </c>
      <c r="S3" s="13" t="s">
        <v>86</v>
      </c>
      <c r="T3" s="13" t="s">
        <v>86</v>
      </c>
      <c r="U3" s="13" t="s">
        <v>86</v>
      </c>
      <c r="V3" s="13" t="s">
        <v>86</v>
      </c>
      <c r="W3" s="13" t="s">
        <v>86</v>
      </c>
      <c r="X3" s="13" t="s">
        <v>86</v>
      </c>
      <c r="Y3" s="13" t="s">
        <v>86</v>
      </c>
      <c r="Z3" s="14" t="s">
        <v>86</v>
      </c>
      <c r="AA3" s="13" t="s">
        <v>86</v>
      </c>
      <c r="AB3" s="13" t="s">
        <v>86</v>
      </c>
      <c r="AC3" s="13" t="s">
        <v>86</v>
      </c>
      <c r="AD3" s="13" t="s">
        <v>86</v>
      </c>
      <c r="AE3" s="11" t="s">
        <v>86</v>
      </c>
      <c r="AF3" s="11" t="s">
        <v>86</v>
      </c>
      <c r="AG3" s="11" t="s">
        <v>86</v>
      </c>
      <c r="AH3" s="11" t="s">
        <v>86</v>
      </c>
      <c r="AI3" s="13" t="s">
        <v>86</v>
      </c>
      <c r="AJ3" s="22" t="s">
        <v>370</v>
      </c>
      <c r="AK3" s="5">
        <v>15482</v>
      </c>
      <c r="AL3" s="5" t="s">
        <v>105</v>
      </c>
      <c r="AM3" s="5" t="s">
        <v>106</v>
      </c>
      <c r="AN3" s="5" t="s">
        <v>107</v>
      </c>
      <c r="AO3" s="5" t="s">
        <v>108</v>
      </c>
      <c r="AP3" s="5" t="s">
        <v>109</v>
      </c>
      <c r="AQ3" s="5">
        <v>30940</v>
      </c>
      <c r="AR3" s="5">
        <v>2522</v>
      </c>
      <c r="AS3" s="5">
        <v>2174</v>
      </c>
      <c r="AT3" s="5">
        <v>348</v>
      </c>
      <c r="AU3" s="5">
        <v>445</v>
      </c>
      <c r="AV3" s="5">
        <v>62599</v>
      </c>
      <c r="AW3" s="5">
        <v>2850</v>
      </c>
      <c r="AX3" s="5">
        <v>11777</v>
      </c>
      <c r="AY3" s="5">
        <v>19</v>
      </c>
      <c r="AZ3" s="5">
        <v>23713</v>
      </c>
      <c r="BA3" s="5">
        <v>0.495</v>
      </c>
      <c r="BB3" s="5">
        <v>4.7</v>
      </c>
    </row>
    <row r="4" spans="1:54" x14ac:dyDescent="0.3">
      <c r="A4" s="6">
        <v>19</v>
      </c>
      <c r="B4" s="8">
        <v>3</v>
      </c>
      <c r="C4" s="7" t="str">
        <f t="shared" si="0"/>
        <v>19_3</v>
      </c>
      <c r="D4" s="8" t="s">
        <v>4</v>
      </c>
      <c r="E4" s="8" t="s">
        <v>86</v>
      </c>
      <c r="F4" s="8" t="s">
        <v>86</v>
      </c>
      <c r="G4" s="8" t="s">
        <v>86</v>
      </c>
      <c r="H4" s="6" t="s">
        <v>42</v>
      </c>
      <c r="I4" s="6" t="s">
        <v>86</v>
      </c>
      <c r="J4" s="6">
        <v>0</v>
      </c>
      <c r="K4" s="6">
        <v>1</v>
      </c>
      <c r="L4" s="6">
        <v>0</v>
      </c>
      <c r="M4" s="6">
        <v>0</v>
      </c>
      <c r="N4" s="6">
        <v>0</v>
      </c>
      <c r="O4" s="10">
        <v>0</v>
      </c>
      <c r="P4" s="6">
        <v>0</v>
      </c>
      <c r="Q4" s="6">
        <v>0</v>
      </c>
      <c r="R4" s="10">
        <v>1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10">
        <v>0</v>
      </c>
      <c r="Y4" s="10">
        <v>1</v>
      </c>
      <c r="Z4" s="10">
        <v>1</v>
      </c>
      <c r="AA4" s="6">
        <v>1</v>
      </c>
      <c r="AB4" s="6">
        <v>1</v>
      </c>
      <c r="AC4" s="6">
        <v>2</v>
      </c>
      <c r="AD4" s="6">
        <v>4</v>
      </c>
      <c r="AE4" s="6">
        <v>0.83333333300000001</v>
      </c>
      <c r="AF4" s="6">
        <v>1</v>
      </c>
      <c r="AG4" s="6">
        <v>2</v>
      </c>
      <c r="AH4" s="6">
        <v>1.2777777779999999</v>
      </c>
      <c r="AI4" s="6" t="s">
        <v>86</v>
      </c>
      <c r="AJ4" s="9" t="s">
        <v>371</v>
      </c>
      <c r="AK4">
        <v>15483</v>
      </c>
      <c r="AL4" t="s">
        <v>105</v>
      </c>
      <c r="AM4" t="s">
        <v>110</v>
      </c>
      <c r="AN4" t="s">
        <v>107</v>
      </c>
      <c r="AO4" t="s">
        <v>111</v>
      </c>
      <c r="AP4" t="s">
        <v>109</v>
      </c>
      <c r="AQ4">
        <v>32600</v>
      </c>
      <c r="AR4">
        <v>5067</v>
      </c>
      <c r="AS4">
        <v>4547</v>
      </c>
      <c r="AT4">
        <v>520</v>
      </c>
      <c r="AU4">
        <v>732</v>
      </c>
      <c r="AV4">
        <v>127180</v>
      </c>
      <c r="AW4">
        <v>2851</v>
      </c>
      <c r="AX4">
        <v>28586</v>
      </c>
      <c r="AY4">
        <v>22</v>
      </c>
      <c r="AZ4">
        <v>23713</v>
      </c>
      <c r="BA4">
        <v>0.495</v>
      </c>
      <c r="BB4">
        <v>4.7</v>
      </c>
    </row>
    <row r="5" spans="1:54" x14ac:dyDescent="0.3">
      <c r="A5" s="6">
        <v>19</v>
      </c>
      <c r="B5" s="8">
        <v>4</v>
      </c>
      <c r="C5" s="7" t="str">
        <f t="shared" si="0"/>
        <v>19_4</v>
      </c>
      <c r="D5" s="8" t="s">
        <v>5</v>
      </c>
      <c r="E5" s="8" t="s">
        <v>86</v>
      </c>
      <c r="F5" s="8" t="s">
        <v>86</v>
      </c>
      <c r="G5" s="8" t="s">
        <v>86</v>
      </c>
      <c r="H5" s="6" t="s">
        <v>43</v>
      </c>
      <c r="I5" s="6" t="s">
        <v>86</v>
      </c>
      <c r="J5" s="6">
        <v>3</v>
      </c>
      <c r="K5" s="6">
        <v>1</v>
      </c>
      <c r="L5" s="6">
        <v>1</v>
      </c>
      <c r="M5" s="6">
        <v>1</v>
      </c>
      <c r="N5" s="6">
        <v>1</v>
      </c>
      <c r="O5" s="10">
        <v>1</v>
      </c>
      <c r="P5" s="6">
        <v>1</v>
      </c>
      <c r="Q5" s="6">
        <v>0</v>
      </c>
      <c r="R5" s="6">
        <v>1</v>
      </c>
      <c r="S5" s="6">
        <v>1</v>
      </c>
      <c r="T5" s="6">
        <v>0</v>
      </c>
      <c r="U5" s="6">
        <v>1</v>
      </c>
      <c r="V5" s="6">
        <v>1</v>
      </c>
      <c r="W5" s="6">
        <v>1</v>
      </c>
      <c r="X5" s="10">
        <v>0</v>
      </c>
      <c r="Y5" s="10">
        <v>0</v>
      </c>
      <c r="Z5" s="10">
        <v>0</v>
      </c>
      <c r="AA5" s="6">
        <v>6</v>
      </c>
      <c r="AB5" s="6">
        <v>3</v>
      </c>
      <c r="AC5" s="6">
        <v>2</v>
      </c>
      <c r="AD5" s="6">
        <v>11</v>
      </c>
      <c r="AE5" s="6">
        <v>5</v>
      </c>
      <c r="AF5" s="6">
        <v>3</v>
      </c>
      <c r="AG5" s="6">
        <v>2</v>
      </c>
      <c r="AH5" s="6">
        <v>3.3333333330000001</v>
      </c>
      <c r="AI5" s="6" t="s">
        <v>86</v>
      </c>
      <c r="AJ5" s="9" t="s">
        <v>372</v>
      </c>
      <c r="AK5">
        <v>15482</v>
      </c>
      <c r="AL5" t="s">
        <v>105</v>
      </c>
      <c r="AM5" t="s">
        <v>106</v>
      </c>
      <c r="AN5" t="s">
        <v>107</v>
      </c>
      <c r="AO5" t="s">
        <v>108</v>
      </c>
      <c r="AP5" t="s">
        <v>109</v>
      </c>
      <c r="AQ5">
        <v>30940</v>
      </c>
      <c r="AR5">
        <v>2522</v>
      </c>
      <c r="AS5">
        <v>2174</v>
      </c>
      <c r="AT5">
        <v>348</v>
      </c>
      <c r="AU5">
        <v>445</v>
      </c>
      <c r="AV5">
        <v>62599</v>
      </c>
      <c r="AW5">
        <v>2850</v>
      </c>
      <c r="AX5">
        <v>11777</v>
      </c>
      <c r="AY5">
        <v>19</v>
      </c>
      <c r="AZ5">
        <v>23713</v>
      </c>
      <c r="BA5">
        <v>0.495</v>
      </c>
      <c r="BB5">
        <v>4.7</v>
      </c>
    </row>
    <row r="6" spans="1:54" x14ac:dyDescent="0.3">
      <c r="A6" s="6">
        <v>19</v>
      </c>
      <c r="B6" s="8">
        <v>5</v>
      </c>
      <c r="C6" s="7" t="str">
        <f t="shared" si="0"/>
        <v>19_5</v>
      </c>
      <c r="D6" s="8" t="s">
        <v>6</v>
      </c>
      <c r="E6" s="8" t="s">
        <v>86</v>
      </c>
      <c r="F6" s="8" t="s">
        <v>86</v>
      </c>
      <c r="G6" s="8" t="s">
        <v>86</v>
      </c>
      <c r="H6" s="6" t="s">
        <v>42</v>
      </c>
      <c r="I6" s="6" t="s">
        <v>86</v>
      </c>
      <c r="J6" s="6">
        <v>1</v>
      </c>
      <c r="K6" s="6">
        <v>1</v>
      </c>
      <c r="L6" s="6">
        <v>1</v>
      </c>
      <c r="M6" s="6">
        <v>0</v>
      </c>
      <c r="N6" s="6">
        <v>1</v>
      </c>
      <c r="O6" s="10">
        <v>1</v>
      </c>
      <c r="P6" s="6">
        <v>0</v>
      </c>
      <c r="Q6" s="6">
        <v>0</v>
      </c>
      <c r="R6" s="6">
        <v>0</v>
      </c>
      <c r="S6" s="6">
        <v>1</v>
      </c>
      <c r="T6" s="6">
        <v>0</v>
      </c>
      <c r="U6" s="6">
        <v>0</v>
      </c>
      <c r="V6" s="6">
        <v>0</v>
      </c>
      <c r="W6" s="6">
        <v>1</v>
      </c>
      <c r="X6" s="10">
        <v>0</v>
      </c>
      <c r="Y6" s="10">
        <v>0</v>
      </c>
      <c r="Z6" s="10">
        <v>0</v>
      </c>
      <c r="AA6" s="6">
        <v>4</v>
      </c>
      <c r="AB6" s="6">
        <v>1</v>
      </c>
      <c r="AC6" s="6">
        <v>1</v>
      </c>
      <c r="AD6" s="6">
        <v>6</v>
      </c>
      <c r="AE6" s="6">
        <v>3.3333333330000001</v>
      </c>
      <c r="AF6" s="6">
        <v>1</v>
      </c>
      <c r="AG6" s="6">
        <v>1</v>
      </c>
      <c r="AH6" s="6">
        <v>1.7777777779999999</v>
      </c>
      <c r="AI6" s="6" t="s">
        <v>86</v>
      </c>
      <c r="AJ6" s="9" t="s">
        <v>365</v>
      </c>
      <c r="AK6">
        <v>15483</v>
      </c>
      <c r="AL6" t="s">
        <v>105</v>
      </c>
      <c r="AM6" t="s">
        <v>110</v>
      </c>
      <c r="AN6" t="s">
        <v>107</v>
      </c>
      <c r="AO6" t="s">
        <v>111</v>
      </c>
      <c r="AP6" t="s">
        <v>109</v>
      </c>
      <c r="AQ6">
        <v>32600</v>
      </c>
      <c r="AR6">
        <v>5067</v>
      </c>
      <c r="AS6">
        <v>4547</v>
      </c>
      <c r="AT6">
        <v>520</v>
      </c>
      <c r="AU6">
        <v>732</v>
      </c>
      <c r="AV6">
        <v>127180</v>
      </c>
      <c r="AW6">
        <v>2851</v>
      </c>
      <c r="AX6">
        <v>28586</v>
      </c>
      <c r="AY6">
        <v>22</v>
      </c>
      <c r="AZ6">
        <v>23713</v>
      </c>
      <c r="BA6">
        <v>0.495</v>
      </c>
      <c r="BB6">
        <v>4.7</v>
      </c>
    </row>
    <row r="7" spans="1:54" x14ac:dyDescent="0.3">
      <c r="A7" s="6">
        <v>19</v>
      </c>
      <c r="B7" s="8">
        <v>6</v>
      </c>
      <c r="C7" s="7" t="str">
        <f t="shared" si="0"/>
        <v>19_6</v>
      </c>
      <c r="D7" s="8" t="s">
        <v>7</v>
      </c>
      <c r="E7" s="8" t="s">
        <v>86</v>
      </c>
      <c r="F7" s="8" t="s">
        <v>86</v>
      </c>
      <c r="G7" s="8" t="s">
        <v>86</v>
      </c>
      <c r="H7" s="6" t="s">
        <v>39</v>
      </c>
      <c r="I7" s="6" t="s">
        <v>86</v>
      </c>
      <c r="J7" s="6">
        <v>2</v>
      </c>
      <c r="K7" s="6">
        <v>0</v>
      </c>
      <c r="L7" s="6">
        <v>1</v>
      </c>
      <c r="M7" s="6">
        <v>0</v>
      </c>
      <c r="N7" s="6">
        <v>1</v>
      </c>
      <c r="O7" s="10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10">
        <v>0</v>
      </c>
      <c r="Y7" s="10">
        <v>0</v>
      </c>
      <c r="Z7" s="10">
        <v>1</v>
      </c>
      <c r="AA7" s="6">
        <v>2</v>
      </c>
      <c r="AB7" s="6">
        <v>0</v>
      </c>
      <c r="AC7" s="6">
        <v>1</v>
      </c>
      <c r="AD7" s="6">
        <v>3</v>
      </c>
      <c r="AE7" s="6">
        <v>1.6666666670000001</v>
      </c>
      <c r="AF7" s="6">
        <v>0</v>
      </c>
      <c r="AG7" s="6">
        <v>1</v>
      </c>
      <c r="AH7" s="6">
        <v>0.88888888899999996</v>
      </c>
      <c r="AI7" s="6" t="s">
        <v>86</v>
      </c>
      <c r="AJ7" s="9" t="s">
        <v>373</v>
      </c>
      <c r="AK7">
        <v>15483</v>
      </c>
      <c r="AL7" t="s">
        <v>105</v>
      </c>
      <c r="AM7" t="s">
        <v>110</v>
      </c>
      <c r="AN7" t="s">
        <v>107</v>
      </c>
      <c r="AO7" t="s">
        <v>111</v>
      </c>
      <c r="AP7" t="s">
        <v>109</v>
      </c>
      <c r="AQ7">
        <v>32600</v>
      </c>
      <c r="AR7">
        <v>5067</v>
      </c>
      <c r="AS7">
        <v>4547</v>
      </c>
      <c r="AT7">
        <v>520</v>
      </c>
      <c r="AU7">
        <v>732</v>
      </c>
      <c r="AV7">
        <v>127180</v>
      </c>
      <c r="AW7">
        <v>2851</v>
      </c>
      <c r="AX7">
        <v>28586</v>
      </c>
      <c r="AY7">
        <v>22</v>
      </c>
      <c r="AZ7">
        <v>23713</v>
      </c>
      <c r="BA7">
        <v>0.495</v>
      </c>
      <c r="BB7">
        <v>4.7</v>
      </c>
    </row>
    <row r="8" spans="1:54" x14ac:dyDescent="0.3">
      <c r="A8" s="6">
        <v>19</v>
      </c>
      <c r="B8" s="8">
        <v>7</v>
      </c>
      <c r="C8" s="7" t="str">
        <f t="shared" si="0"/>
        <v>19_7</v>
      </c>
      <c r="D8" s="8" t="s">
        <v>8</v>
      </c>
      <c r="E8" s="8" t="s">
        <v>86</v>
      </c>
      <c r="F8" s="8" t="s">
        <v>86</v>
      </c>
      <c r="G8" s="8" t="s">
        <v>86</v>
      </c>
      <c r="H8" s="6" t="s">
        <v>39</v>
      </c>
      <c r="I8" s="6" t="s">
        <v>86</v>
      </c>
      <c r="J8" s="6">
        <v>2</v>
      </c>
      <c r="K8" s="6">
        <v>0</v>
      </c>
      <c r="L8" s="6">
        <v>1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1</v>
      </c>
      <c r="W8" s="6">
        <v>0</v>
      </c>
      <c r="X8" s="6">
        <v>0</v>
      </c>
      <c r="Y8" s="6">
        <v>0</v>
      </c>
      <c r="Z8" s="10">
        <v>1</v>
      </c>
      <c r="AA8" s="6">
        <v>2</v>
      </c>
      <c r="AB8" s="6">
        <v>0</v>
      </c>
      <c r="AC8" s="6">
        <v>2</v>
      </c>
      <c r="AD8" s="6">
        <v>4</v>
      </c>
      <c r="AE8" s="6">
        <v>1.6666666670000001</v>
      </c>
      <c r="AF8" s="6">
        <v>0</v>
      </c>
      <c r="AG8" s="6">
        <v>2</v>
      </c>
      <c r="AH8" s="6">
        <v>1.2222222220000001</v>
      </c>
      <c r="AI8" s="6" t="s">
        <v>86</v>
      </c>
      <c r="AJ8" s="9" t="s">
        <v>374</v>
      </c>
      <c r="AK8">
        <v>15483</v>
      </c>
      <c r="AL8" t="s">
        <v>105</v>
      </c>
      <c r="AM8" t="s">
        <v>110</v>
      </c>
      <c r="AN8" t="s">
        <v>107</v>
      </c>
      <c r="AO8" t="s">
        <v>111</v>
      </c>
      <c r="AP8" t="s">
        <v>109</v>
      </c>
      <c r="AQ8">
        <v>32600</v>
      </c>
      <c r="AR8">
        <v>5067</v>
      </c>
      <c r="AS8">
        <v>4547</v>
      </c>
      <c r="AT8">
        <v>520</v>
      </c>
      <c r="AU8">
        <v>732</v>
      </c>
      <c r="AV8">
        <v>127180</v>
      </c>
      <c r="AW8">
        <v>2851</v>
      </c>
      <c r="AX8">
        <v>28586</v>
      </c>
      <c r="AY8">
        <v>22</v>
      </c>
      <c r="AZ8">
        <v>23713</v>
      </c>
      <c r="BA8">
        <v>0.495</v>
      </c>
      <c r="BB8">
        <v>4.7</v>
      </c>
    </row>
    <row r="9" spans="1:54" x14ac:dyDescent="0.3">
      <c r="A9" s="6">
        <v>19</v>
      </c>
      <c r="B9" s="8">
        <v>8</v>
      </c>
      <c r="C9" s="7" t="str">
        <f t="shared" si="0"/>
        <v>19_8</v>
      </c>
      <c r="D9" s="8" t="s">
        <v>9</v>
      </c>
      <c r="E9" s="8" t="s">
        <v>86</v>
      </c>
      <c r="F9" s="8" t="s">
        <v>86</v>
      </c>
      <c r="G9" s="8" t="s">
        <v>86</v>
      </c>
      <c r="H9" s="6" t="s">
        <v>43</v>
      </c>
      <c r="I9" s="6" t="s">
        <v>86</v>
      </c>
      <c r="J9" s="6">
        <v>3</v>
      </c>
      <c r="K9" s="6">
        <v>1</v>
      </c>
      <c r="L9" s="6">
        <v>1</v>
      </c>
      <c r="M9" s="6">
        <v>0</v>
      </c>
      <c r="N9" s="6">
        <v>1</v>
      </c>
      <c r="O9" s="6">
        <v>1</v>
      </c>
      <c r="P9" s="6">
        <v>0</v>
      </c>
      <c r="Q9" s="6">
        <v>1</v>
      </c>
      <c r="R9" s="6">
        <v>0</v>
      </c>
      <c r="S9" s="6">
        <v>1</v>
      </c>
      <c r="T9" s="6">
        <v>0</v>
      </c>
      <c r="U9" s="6">
        <v>0</v>
      </c>
      <c r="V9" s="6">
        <v>0</v>
      </c>
      <c r="W9" s="6">
        <v>1</v>
      </c>
      <c r="X9" s="6">
        <v>0</v>
      </c>
      <c r="Y9" s="6">
        <v>0</v>
      </c>
      <c r="Z9" s="10">
        <v>1</v>
      </c>
      <c r="AA9" s="6">
        <v>4</v>
      </c>
      <c r="AB9" s="6">
        <v>2</v>
      </c>
      <c r="AC9" s="6">
        <v>2</v>
      </c>
      <c r="AD9" s="6">
        <v>8</v>
      </c>
      <c r="AE9" s="6">
        <v>3.3333333330000001</v>
      </c>
      <c r="AF9" s="6">
        <v>2</v>
      </c>
      <c r="AG9" s="6">
        <v>2</v>
      </c>
      <c r="AH9" s="6">
        <v>2.4444444440000002</v>
      </c>
      <c r="AI9" s="6" t="s">
        <v>86</v>
      </c>
      <c r="AJ9" s="9" t="s">
        <v>369</v>
      </c>
      <c r="AK9">
        <v>15483</v>
      </c>
      <c r="AL9" t="s">
        <v>105</v>
      </c>
      <c r="AM9" t="s">
        <v>110</v>
      </c>
      <c r="AN9" t="s">
        <v>107</v>
      </c>
      <c r="AO9" t="s">
        <v>111</v>
      </c>
      <c r="AP9" t="s">
        <v>109</v>
      </c>
      <c r="AQ9">
        <v>32600</v>
      </c>
      <c r="AR9">
        <v>5067</v>
      </c>
      <c r="AS9">
        <v>4547</v>
      </c>
      <c r="AT9">
        <v>520</v>
      </c>
      <c r="AU9">
        <v>732</v>
      </c>
      <c r="AV9">
        <v>127180</v>
      </c>
      <c r="AW9">
        <v>2851</v>
      </c>
      <c r="AX9">
        <v>28586</v>
      </c>
      <c r="AY9">
        <v>22</v>
      </c>
      <c r="AZ9">
        <v>23713</v>
      </c>
      <c r="BA9">
        <v>0.495</v>
      </c>
      <c r="BB9">
        <v>4.7</v>
      </c>
    </row>
    <row r="10" spans="1:54" x14ac:dyDescent="0.3">
      <c r="A10" s="6">
        <v>19</v>
      </c>
      <c r="B10" s="8">
        <v>9</v>
      </c>
      <c r="C10" s="7" t="str">
        <f t="shared" si="0"/>
        <v>19_9</v>
      </c>
      <c r="D10" s="8" t="s">
        <v>10</v>
      </c>
      <c r="E10" s="8" t="s">
        <v>86</v>
      </c>
      <c r="F10" s="8" t="s">
        <v>86</v>
      </c>
      <c r="G10" s="8" t="s">
        <v>86</v>
      </c>
      <c r="H10" s="6" t="s">
        <v>43</v>
      </c>
      <c r="I10" s="6" t="s">
        <v>86</v>
      </c>
      <c r="J10" s="6">
        <v>3</v>
      </c>
      <c r="K10" s="6">
        <v>1</v>
      </c>
      <c r="L10" s="6">
        <v>1</v>
      </c>
      <c r="M10" s="6">
        <v>0</v>
      </c>
      <c r="N10" s="6">
        <v>1</v>
      </c>
      <c r="O10" s="6">
        <v>1</v>
      </c>
      <c r="P10" s="6">
        <v>0</v>
      </c>
      <c r="Q10" s="6">
        <v>1</v>
      </c>
      <c r="R10" s="6">
        <v>0</v>
      </c>
      <c r="S10" s="6">
        <v>1</v>
      </c>
      <c r="T10" s="6">
        <v>0</v>
      </c>
      <c r="U10" s="6">
        <v>0</v>
      </c>
      <c r="V10" s="6">
        <v>0</v>
      </c>
      <c r="W10" s="6">
        <v>1</v>
      </c>
      <c r="X10" s="6">
        <v>0</v>
      </c>
      <c r="Y10" s="6">
        <v>0</v>
      </c>
      <c r="Z10" s="10">
        <v>1</v>
      </c>
      <c r="AA10" s="6">
        <v>4</v>
      </c>
      <c r="AB10" s="6">
        <v>2</v>
      </c>
      <c r="AC10" s="6">
        <v>2</v>
      </c>
      <c r="AD10" s="6">
        <v>8</v>
      </c>
      <c r="AE10" s="6">
        <v>3.3333333330000001</v>
      </c>
      <c r="AF10" s="6">
        <v>2</v>
      </c>
      <c r="AG10" s="6">
        <v>2</v>
      </c>
      <c r="AH10" s="6">
        <v>2.4444444440000002</v>
      </c>
      <c r="AI10" s="6" t="s">
        <v>86</v>
      </c>
      <c r="AJ10" s="9" t="s">
        <v>375</v>
      </c>
      <c r="AK10">
        <v>15483</v>
      </c>
      <c r="AL10" t="s">
        <v>105</v>
      </c>
      <c r="AM10" t="s">
        <v>110</v>
      </c>
      <c r="AN10" t="s">
        <v>107</v>
      </c>
      <c r="AO10" t="s">
        <v>111</v>
      </c>
      <c r="AP10" t="s">
        <v>109</v>
      </c>
      <c r="AQ10">
        <v>32600</v>
      </c>
      <c r="AR10">
        <v>5067</v>
      </c>
      <c r="AS10">
        <v>4547</v>
      </c>
      <c r="AT10">
        <v>520</v>
      </c>
      <c r="AU10">
        <v>732</v>
      </c>
      <c r="AV10">
        <v>127180</v>
      </c>
      <c r="AW10">
        <v>2851</v>
      </c>
      <c r="AX10">
        <v>28586</v>
      </c>
      <c r="AY10">
        <v>22</v>
      </c>
      <c r="AZ10">
        <v>23713</v>
      </c>
      <c r="BA10">
        <v>0.495</v>
      </c>
      <c r="BB10">
        <v>4.7</v>
      </c>
    </row>
    <row r="11" spans="1:54" x14ac:dyDescent="0.3">
      <c r="A11" s="6">
        <v>19</v>
      </c>
      <c r="B11" s="8">
        <v>10</v>
      </c>
      <c r="C11" s="7" t="str">
        <f t="shared" si="0"/>
        <v>19_10</v>
      </c>
      <c r="D11" s="8" t="s">
        <v>11</v>
      </c>
      <c r="E11" s="8" t="s">
        <v>86</v>
      </c>
      <c r="F11" s="8" t="s">
        <v>86</v>
      </c>
      <c r="G11" s="8" t="s">
        <v>86</v>
      </c>
      <c r="H11" s="6" t="s">
        <v>39</v>
      </c>
      <c r="I11" s="6" t="s">
        <v>86</v>
      </c>
      <c r="J11" s="6">
        <v>2</v>
      </c>
      <c r="K11" s="6">
        <v>1</v>
      </c>
      <c r="L11" s="6">
        <v>1</v>
      </c>
      <c r="M11" s="6">
        <v>0</v>
      </c>
      <c r="N11" s="6">
        <v>1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1</v>
      </c>
      <c r="X11" s="6">
        <v>0</v>
      </c>
      <c r="Y11" s="6">
        <v>0</v>
      </c>
      <c r="Z11" s="10">
        <v>1</v>
      </c>
      <c r="AA11" s="6">
        <v>4</v>
      </c>
      <c r="AB11" s="6">
        <v>0</v>
      </c>
      <c r="AC11" s="6">
        <v>2</v>
      </c>
      <c r="AD11" s="6">
        <v>6</v>
      </c>
      <c r="AE11" s="6">
        <v>3.3333333330000001</v>
      </c>
      <c r="AF11" s="6">
        <v>0</v>
      </c>
      <c r="AG11" s="6">
        <v>2</v>
      </c>
      <c r="AH11" s="6">
        <v>1.7777777779999999</v>
      </c>
      <c r="AI11" s="6" t="s">
        <v>86</v>
      </c>
      <c r="AJ11" s="9" t="s">
        <v>376</v>
      </c>
      <c r="AK11">
        <v>15472</v>
      </c>
      <c r="AL11" t="s">
        <v>105</v>
      </c>
      <c r="AM11" t="s">
        <v>112</v>
      </c>
      <c r="AN11" t="s">
        <v>107</v>
      </c>
      <c r="AO11" t="s">
        <v>113</v>
      </c>
      <c r="AP11" t="s">
        <v>109</v>
      </c>
      <c r="AQ11">
        <v>36590</v>
      </c>
      <c r="AR11">
        <v>2054</v>
      </c>
      <c r="AS11">
        <v>1792</v>
      </c>
      <c r="AT11">
        <v>262</v>
      </c>
      <c r="AU11">
        <v>363</v>
      </c>
      <c r="AV11">
        <v>41948</v>
      </c>
      <c r="AW11">
        <v>2840</v>
      </c>
      <c r="AX11">
        <v>8688</v>
      </c>
      <c r="AY11">
        <v>21</v>
      </c>
      <c r="AZ11">
        <v>23713</v>
      </c>
      <c r="BA11">
        <v>0.495</v>
      </c>
      <c r="BB11">
        <v>4.7</v>
      </c>
    </row>
    <row r="12" spans="1:54" x14ac:dyDescent="0.3">
      <c r="A12" s="6">
        <v>19</v>
      </c>
      <c r="B12" s="8">
        <v>11</v>
      </c>
      <c r="C12" s="7" t="str">
        <f t="shared" si="0"/>
        <v>19_11</v>
      </c>
      <c r="D12" s="8" t="s">
        <v>12</v>
      </c>
      <c r="E12" s="8" t="s">
        <v>86</v>
      </c>
      <c r="F12" s="8" t="s">
        <v>86</v>
      </c>
      <c r="G12" s="8" t="s">
        <v>86</v>
      </c>
      <c r="H12" s="6" t="s">
        <v>39</v>
      </c>
      <c r="I12" s="6" t="s">
        <v>86</v>
      </c>
      <c r="J12" s="6">
        <v>1</v>
      </c>
      <c r="K12" s="6">
        <v>1</v>
      </c>
      <c r="L12" s="6">
        <v>1</v>
      </c>
      <c r="M12" s="6">
        <v>1</v>
      </c>
      <c r="N12" s="6">
        <v>0</v>
      </c>
      <c r="O12" s="6">
        <v>0</v>
      </c>
      <c r="P12" s="6">
        <v>0</v>
      </c>
      <c r="Q12" s="6">
        <v>0</v>
      </c>
      <c r="R12" s="6">
        <v>1</v>
      </c>
      <c r="S12" s="6">
        <v>0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1</v>
      </c>
      <c r="Z12" s="10">
        <v>1</v>
      </c>
      <c r="AA12" s="6">
        <v>3</v>
      </c>
      <c r="AB12" s="6">
        <v>1</v>
      </c>
      <c r="AC12" s="6">
        <v>3</v>
      </c>
      <c r="AD12" s="6">
        <v>7</v>
      </c>
      <c r="AE12" s="6">
        <v>2.5</v>
      </c>
      <c r="AF12" s="6">
        <v>1</v>
      </c>
      <c r="AG12" s="6">
        <v>3</v>
      </c>
      <c r="AH12" s="6">
        <v>2.1666666669999999</v>
      </c>
      <c r="AI12" s="6" t="s">
        <v>86</v>
      </c>
      <c r="AJ12" s="9" t="s">
        <v>377</v>
      </c>
      <c r="AK12">
        <v>15471</v>
      </c>
      <c r="AL12" t="s">
        <v>105</v>
      </c>
      <c r="AM12" t="s">
        <v>114</v>
      </c>
      <c r="AN12" t="s">
        <v>107</v>
      </c>
      <c r="AO12" t="s">
        <v>115</v>
      </c>
      <c r="AP12" t="s">
        <v>109</v>
      </c>
      <c r="AQ12">
        <v>38780</v>
      </c>
      <c r="AR12">
        <v>3163</v>
      </c>
      <c r="AS12">
        <v>2839</v>
      </c>
      <c r="AT12">
        <v>324</v>
      </c>
      <c r="AU12">
        <v>387</v>
      </c>
      <c r="AV12">
        <v>156014</v>
      </c>
      <c r="AW12">
        <v>2839</v>
      </c>
      <c r="AX12">
        <v>41783</v>
      </c>
      <c r="AY12">
        <v>27</v>
      </c>
      <c r="AZ12">
        <v>23713</v>
      </c>
      <c r="BA12">
        <v>0.495</v>
      </c>
      <c r="BB12">
        <v>4.7</v>
      </c>
    </row>
    <row r="13" spans="1:54" x14ac:dyDescent="0.3">
      <c r="A13" s="6">
        <v>19</v>
      </c>
      <c r="B13" s="8">
        <v>12</v>
      </c>
      <c r="C13" s="7" t="str">
        <f t="shared" si="0"/>
        <v>19_12</v>
      </c>
      <c r="D13" s="8" t="s">
        <v>13</v>
      </c>
      <c r="E13" s="8" t="s">
        <v>86</v>
      </c>
      <c r="F13" s="8" t="s">
        <v>86</v>
      </c>
      <c r="G13" s="8" t="s">
        <v>86</v>
      </c>
      <c r="H13" s="6" t="s">
        <v>39</v>
      </c>
      <c r="I13" s="6" t="s">
        <v>86</v>
      </c>
      <c r="J13" s="6">
        <v>1</v>
      </c>
      <c r="K13" s="6">
        <v>1</v>
      </c>
      <c r="L13" s="6">
        <v>1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1</v>
      </c>
      <c r="S13" s="6">
        <v>0</v>
      </c>
      <c r="T13" s="6">
        <v>1</v>
      </c>
      <c r="U13" s="6">
        <v>0</v>
      </c>
      <c r="V13" s="6">
        <v>0</v>
      </c>
      <c r="W13" s="6">
        <v>1</v>
      </c>
      <c r="X13" s="6">
        <v>0</v>
      </c>
      <c r="Y13" s="6">
        <v>1</v>
      </c>
      <c r="Z13" s="10">
        <v>1</v>
      </c>
      <c r="AA13" s="6">
        <v>2</v>
      </c>
      <c r="AB13" s="6">
        <v>2</v>
      </c>
      <c r="AC13" s="6">
        <v>3</v>
      </c>
      <c r="AD13" s="6">
        <v>7</v>
      </c>
      <c r="AE13" s="6">
        <v>1.6666666670000001</v>
      </c>
      <c r="AF13" s="6">
        <v>2</v>
      </c>
      <c r="AG13" s="6">
        <v>3</v>
      </c>
      <c r="AH13" s="6">
        <v>2.2222222220000001</v>
      </c>
      <c r="AI13" s="6" t="s">
        <v>86</v>
      </c>
      <c r="AJ13" s="9" t="s">
        <v>366</v>
      </c>
      <c r="AK13">
        <v>15471</v>
      </c>
      <c r="AL13" t="s">
        <v>105</v>
      </c>
      <c r="AM13" t="s">
        <v>114</v>
      </c>
      <c r="AN13" t="s">
        <v>107</v>
      </c>
      <c r="AO13" t="s">
        <v>115</v>
      </c>
      <c r="AP13" t="s">
        <v>109</v>
      </c>
      <c r="AQ13">
        <v>38780</v>
      </c>
      <c r="AR13">
        <v>3163</v>
      </c>
      <c r="AS13">
        <v>2839</v>
      </c>
      <c r="AT13">
        <v>324</v>
      </c>
      <c r="AU13">
        <v>387</v>
      </c>
      <c r="AV13">
        <v>156014</v>
      </c>
      <c r="AW13">
        <v>2839</v>
      </c>
      <c r="AX13">
        <v>41783</v>
      </c>
      <c r="AY13">
        <v>27</v>
      </c>
      <c r="AZ13">
        <v>23713</v>
      </c>
      <c r="BA13">
        <v>0.495</v>
      </c>
      <c r="BB13">
        <v>4.7</v>
      </c>
    </row>
    <row r="14" spans="1:54" x14ac:dyDescent="0.3">
      <c r="A14" s="6">
        <v>19</v>
      </c>
      <c r="B14" s="8">
        <v>13</v>
      </c>
      <c r="C14" s="7" t="str">
        <f t="shared" si="0"/>
        <v>19_13</v>
      </c>
      <c r="D14" s="8" t="s">
        <v>14</v>
      </c>
      <c r="E14" s="8" t="s">
        <v>86</v>
      </c>
      <c r="F14" s="8" t="s">
        <v>86</v>
      </c>
      <c r="G14" s="8" t="s">
        <v>86</v>
      </c>
      <c r="H14" s="6" t="s">
        <v>43</v>
      </c>
      <c r="I14" s="6" t="s">
        <v>86</v>
      </c>
      <c r="J14" s="6">
        <v>1</v>
      </c>
      <c r="K14" s="6">
        <v>1</v>
      </c>
      <c r="L14" s="6">
        <v>1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1</v>
      </c>
      <c r="S14" s="6">
        <v>0</v>
      </c>
      <c r="T14" s="6">
        <v>0</v>
      </c>
      <c r="U14" s="6">
        <v>0</v>
      </c>
      <c r="V14" s="6">
        <v>0</v>
      </c>
      <c r="W14" s="6">
        <v>1</v>
      </c>
      <c r="X14" s="6">
        <v>0</v>
      </c>
      <c r="Y14" s="6">
        <v>1</v>
      </c>
      <c r="Z14" s="10">
        <v>1</v>
      </c>
      <c r="AA14" s="6">
        <v>2</v>
      </c>
      <c r="AB14" s="6">
        <v>1</v>
      </c>
      <c r="AC14" s="6">
        <v>3</v>
      </c>
      <c r="AD14" s="6">
        <v>6</v>
      </c>
      <c r="AE14" s="6">
        <v>1.6666666670000001</v>
      </c>
      <c r="AF14" s="6">
        <v>1</v>
      </c>
      <c r="AG14" s="6">
        <v>3</v>
      </c>
      <c r="AH14" s="6">
        <v>1.888888889</v>
      </c>
      <c r="AI14" s="6" t="s">
        <v>86</v>
      </c>
      <c r="AJ14" s="9" t="s">
        <v>378</v>
      </c>
      <c r="AK14">
        <v>15471</v>
      </c>
      <c r="AL14" t="s">
        <v>105</v>
      </c>
      <c r="AM14" t="s">
        <v>114</v>
      </c>
      <c r="AN14" t="s">
        <v>107</v>
      </c>
      <c r="AO14" t="s">
        <v>115</v>
      </c>
      <c r="AP14" t="s">
        <v>109</v>
      </c>
      <c r="AQ14">
        <v>38780</v>
      </c>
      <c r="AR14">
        <v>3163</v>
      </c>
      <c r="AS14">
        <v>2839</v>
      </c>
      <c r="AT14">
        <v>324</v>
      </c>
      <c r="AU14">
        <v>387</v>
      </c>
      <c r="AV14">
        <v>156014</v>
      </c>
      <c r="AW14">
        <v>2839</v>
      </c>
      <c r="AX14">
        <v>41783</v>
      </c>
      <c r="AY14">
        <v>27</v>
      </c>
      <c r="AZ14">
        <v>23713</v>
      </c>
      <c r="BA14">
        <v>0.495</v>
      </c>
      <c r="BB14">
        <v>4.7</v>
      </c>
    </row>
    <row r="15" spans="1:54" x14ac:dyDescent="0.3">
      <c r="A15" s="6">
        <v>19</v>
      </c>
      <c r="B15" s="8">
        <v>14</v>
      </c>
      <c r="C15" s="7" t="str">
        <f t="shared" si="0"/>
        <v>19_14</v>
      </c>
      <c r="D15" s="8" t="s">
        <v>15</v>
      </c>
      <c r="E15" s="8" t="s">
        <v>86</v>
      </c>
      <c r="F15" s="8" t="s">
        <v>86</v>
      </c>
      <c r="G15" s="8" t="s">
        <v>86</v>
      </c>
      <c r="H15" s="6" t="s">
        <v>39</v>
      </c>
      <c r="I15" s="6" t="s">
        <v>86</v>
      </c>
      <c r="J15" s="6">
        <v>1</v>
      </c>
      <c r="K15" s="6">
        <v>0</v>
      </c>
      <c r="L15" s="6">
        <v>1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1</v>
      </c>
      <c r="X15" s="6">
        <v>0</v>
      </c>
      <c r="Y15" s="6">
        <v>0</v>
      </c>
      <c r="Z15" s="10">
        <v>1</v>
      </c>
      <c r="AA15" s="6">
        <v>2</v>
      </c>
      <c r="AB15" s="6">
        <v>0</v>
      </c>
      <c r="AC15" s="6">
        <v>2</v>
      </c>
      <c r="AD15" s="6">
        <v>4</v>
      </c>
      <c r="AE15" s="6">
        <v>1.6666666670000001</v>
      </c>
      <c r="AF15" s="6">
        <v>0</v>
      </c>
      <c r="AG15" s="6">
        <v>2</v>
      </c>
      <c r="AH15" s="6">
        <v>1.2222222220000001</v>
      </c>
      <c r="AI15" s="6" t="s">
        <v>86</v>
      </c>
      <c r="AJ15" s="9" t="s">
        <v>367</v>
      </c>
      <c r="AK15">
        <v>15471</v>
      </c>
      <c r="AL15" t="s">
        <v>105</v>
      </c>
      <c r="AM15" t="s">
        <v>114</v>
      </c>
      <c r="AN15" t="s">
        <v>107</v>
      </c>
      <c r="AO15" t="s">
        <v>115</v>
      </c>
      <c r="AP15" t="s">
        <v>109</v>
      </c>
      <c r="AQ15">
        <v>38780</v>
      </c>
      <c r="AR15">
        <v>3163</v>
      </c>
      <c r="AS15">
        <v>2839</v>
      </c>
      <c r="AT15">
        <v>324</v>
      </c>
      <c r="AU15">
        <v>387</v>
      </c>
      <c r="AV15">
        <v>156014</v>
      </c>
      <c r="AW15">
        <v>2839</v>
      </c>
      <c r="AX15">
        <v>41783</v>
      </c>
      <c r="AY15">
        <v>27</v>
      </c>
      <c r="AZ15">
        <v>23713</v>
      </c>
      <c r="BA15">
        <v>0.495</v>
      </c>
      <c r="BB15">
        <v>4.7</v>
      </c>
    </row>
    <row r="16" spans="1:54" x14ac:dyDescent="0.3">
      <c r="A16" s="6">
        <v>19</v>
      </c>
      <c r="B16" s="8">
        <v>15</v>
      </c>
      <c r="C16" s="7" t="str">
        <f t="shared" si="0"/>
        <v>19_15</v>
      </c>
      <c r="D16" s="8" t="s">
        <v>16</v>
      </c>
      <c r="E16" s="8" t="s">
        <v>86</v>
      </c>
      <c r="F16" s="8" t="s">
        <v>86</v>
      </c>
      <c r="G16" s="8" t="s">
        <v>86</v>
      </c>
      <c r="H16" s="6" t="s">
        <v>39</v>
      </c>
      <c r="I16" s="6" t="s">
        <v>86</v>
      </c>
      <c r="J16" s="6">
        <v>1</v>
      </c>
      <c r="K16" s="6">
        <v>1</v>
      </c>
      <c r="L16" s="6">
        <v>1</v>
      </c>
      <c r="M16" s="6">
        <v>1</v>
      </c>
      <c r="N16" s="6">
        <v>0</v>
      </c>
      <c r="O16" s="10">
        <v>0</v>
      </c>
      <c r="P16" s="6">
        <v>0</v>
      </c>
      <c r="Q16" s="6">
        <v>0</v>
      </c>
      <c r="R16" s="10">
        <v>1</v>
      </c>
      <c r="S16" s="10">
        <v>0</v>
      </c>
      <c r="T16" s="6">
        <v>0</v>
      </c>
      <c r="U16" s="6">
        <v>0</v>
      </c>
      <c r="V16" s="10">
        <v>0</v>
      </c>
      <c r="W16" s="6">
        <v>1</v>
      </c>
      <c r="X16" s="10">
        <v>0</v>
      </c>
      <c r="Y16" s="10">
        <v>1</v>
      </c>
      <c r="Z16" s="10">
        <v>1</v>
      </c>
      <c r="AA16" s="6">
        <v>3</v>
      </c>
      <c r="AB16" s="6">
        <v>1</v>
      </c>
      <c r="AC16" s="6">
        <v>3</v>
      </c>
      <c r="AD16" s="6">
        <v>7</v>
      </c>
      <c r="AE16" s="6">
        <v>2.5</v>
      </c>
      <c r="AF16" s="6">
        <v>1</v>
      </c>
      <c r="AG16" s="6">
        <v>3</v>
      </c>
      <c r="AH16" s="6">
        <v>2.1666666669999999</v>
      </c>
      <c r="AI16" s="6" t="s">
        <v>86</v>
      </c>
      <c r="AJ16" s="9" t="s">
        <v>379</v>
      </c>
      <c r="AK16">
        <v>15474</v>
      </c>
      <c r="AL16" t="s">
        <v>105</v>
      </c>
      <c r="AM16" t="s">
        <v>116</v>
      </c>
      <c r="AN16" t="s">
        <v>107</v>
      </c>
      <c r="AO16" t="s">
        <v>117</v>
      </c>
      <c r="AP16" t="s">
        <v>109</v>
      </c>
      <c r="AQ16">
        <v>16780</v>
      </c>
      <c r="AR16">
        <v>3833</v>
      </c>
      <c r="AS16">
        <v>3217</v>
      </c>
      <c r="AT16">
        <v>616</v>
      </c>
      <c r="AU16">
        <v>1115</v>
      </c>
      <c r="AV16">
        <v>62492</v>
      </c>
      <c r="AW16">
        <v>2842</v>
      </c>
      <c r="AX16">
        <v>16396</v>
      </c>
      <c r="AY16">
        <v>26</v>
      </c>
      <c r="AZ16">
        <v>23713</v>
      </c>
      <c r="BA16">
        <v>0.495</v>
      </c>
      <c r="BB16">
        <v>4.7</v>
      </c>
    </row>
    <row r="17" spans="1:54" x14ac:dyDescent="0.3">
      <c r="A17" s="6">
        <v>19</v>
      </c>
      <c r="B17" s="8">
        <v>16</v>
      </c>
      <c r="C17" s="7" t="str">
        <f t="shared" si="0"/>
        <v>19_16</v>
      </c>
      <c r="D17" s="8" t="s">
        <v>17</v>
      </c>
      <c r="E17" s="8" t="s">
        <v>86</v>
      </c>
      <c r="F17" s="8" t="s">
        <v>86</v>
      </c>
      <c r="G17" s="8" t="s">
        <v>86</v>
      </c>
      <c r="H17" s="6" t="s">
        <v>42</v>
      </c>
      <c r="I17" s="6" t="s">
        <v>86</v>
      </c>
      <c r="J17" s="6">
        <v>1</v>
      </c>
      <c r="K17" s="6">
        <v>1</v>
      </c>
      <c r="L17" s="6">
        <v>0</v>
      </c>
      <c r="M17" s="6">
        <v>1</v>
      </c>
      <c r="N17" s="6">
        <v>1</v>
      </c>
      <c r="O17" s="6">
        <v>0</v>
      </c>
      <c r="P17" s="6">
        <v>0</v>
      </c>
      <c r="Q17" s="6">
        <v>1</v>
      </c>
      <c r="R17" s="6">
        <v>1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1</v>
      </c>
      <c r="Z17" s="10">
        <v>1</v>
      </c>
      <c r="AA17" s="6">
        <v>3</v>
      </c>
      <c r="AB17" s="6">
        <v>2</v>
      </c>
      <c r="AC17" s="6">
        <v>2</v>
      </c>
      <c r="AD17" s="6">
        <v>7</v>
      </c>
      <c r="AE17" s="6">
        <v>2.5</v>
      </c>
      <c r="AF17" s="6">
        <v>2</v>
      </c>
      <c r="AG17" s="6">
        <v>2</v>
      </c>
      <c r="AH17" s="6">
        <v>2.1666666669999999</v>
      </c>
      <c r="AI17" s="6" t="s">
        <v>86</v>
      </c>
      <c r="AJ17" s="9" t="s">
        <v>380</v>
      </c>
      <c r="AK17">
        <v>15474</v>
      </c>
      <c r="AL17" t="s">
        <v>105</v>
      </c>
      <c r="AM17" t="s">
        <v>116</v>
      </c>
      <c r="AN17" t="s">
        <v>107</v>
      </c>
      <c r="AO17" t="s">
        <v>117</v>
      </c>
      <c r="AP17" t="s">
        <v>109</v>
      </c>
      <c r="AQ17">
        <v>16780</v>
      </c>
      <c r="AR17">
        <v>3833</v>
      </c>
      <c r="AS17">
        <v>3217</v>
      </c>
      <c r="AT17">
        <v>616</v>
      </c>
      <c r="AU17">
        <v>1115</v>
      </c>
      <c r="AV17">
        <v>62492</v>
      </c>
      <c r="AW17">
        <v>2842</v>
      </c>
      <c r="AX17">
        <v>16396</v>
      </c>
      <c r="AY17">
        <v>26</v>
      </c>
      <c r="AZ17">
        <v>23713</v>
      </c>
      <c r="BA17">
        <v>0.495</v>
      </c>
      <c r="BB17">
        <v>4.7</v>
      </c>
    </row>
    <row r="18" spans="1:54" x14ac:dyDescent="0.3">
      <c r="A18" s="6">
        <v>19</v>
      </c>
      <c r="B18" s="8">
        <v>17</v>
      </c>
      <c r="C18" s="7" t="str">
        <f t="shared" si="0"/>
        <v>19_17</v>
      </c>
      <c r="D18" s="8" t="s">
        <v>18</v>
      </c>
      <c r="E18" s="8" t="s">
        <v>86</v>
      </c>
      <c r="F18" s="8" t="s">
        <v>86</v>
      </c>
      <c r="G18" s="8" t="s">
        <v>86</v>
      </c>
      <c r="H18" s="6" t="s">
        <v>43</v>
      </c>
      <c r="I18" s="6" t="s">
        <v>86</v>
      </c>
      <c r="J18" s="6">
        <v>2</v>
      </c>
      <c r="K18" s="6">
        <v>1</v>
      </c>
      <c r="L18" s="6">
        <v>1</v>
      </c>
      <c r="M18" s="6">
        <v>0</v>
      </c>
      <c r="N18" s="6">
        <v>1</v>
      </c>
      <c r="O18" s="6">
        <v>1</v>
      </c>
      <c r="P18" s="6">
        <v>0</v>
      </c>
      <c r="Q18" s="6">
        <v>0</v>
      </c>
      <c r="R18" s="6">
        <v>0</v>
      </c>
      <c r="S18" s="6">
        <v>1</v>
      </c>
      <c r="T18" s="6">
        <v>0</v>
      </c>
      <c r="U18" s="6">
        <v>0</v>
      </c>
      <c r="V18" s="6">
        <v>0</v>
      </c>
      <c r="W18" s="6">
        <v>1</v>
      </c>
      <c r="X18" s="6">
        <v>0</v>
      </c>
      <c r="Y18" s="6">
        <v>0</v>
      </c>
      <c r="Z18" s="10">
        <v>1</v>
      </c>
      <c r="AA18" s="6">
        <v>4</v>
      </c>
      <c r="AB18" s="6">
        <v>1</v>
      </c>
      <c r="AC18" s="6">
        <v>2</v>
      </c>
      <c r="AD18" s="6">
        <v>7</v>
      </c>
      <c r="AE18" s="6">
        <v>3.3333333330000001</v>
      </c>
      <c r="AF18" s="6">
        <v>1</v>
      </c>
      <c r="AG18" s="6">
        <v>2</v>
      </c>
      <c r="AH18" s="6">
        <v>2.111111111</v>
      </c>
      <c r="AI18" s="6" t="s">
        <v>86</v>
      </c>
      <c r="AJ18" s="9" t="s">
        <v>381</v>
      </c>
      <c r="AK18">
        <v>15475</v>
      </c>
      <c r="AL18" t="s">
        <v>105</v>
      </c>
      <c r="AM18" t="s">
        <v>118</v>
      </c>
      <c r="AN18" t="s">
        <v>107</v>
      </c>
      <c r="AO18" t="s">
        <v>119</v>
      </c>
      <c r="AP18" t="s">
        <v>109</v>
      </c>
      <c r="AQ18">
        <v>13570</v>
      </c>
      <c r="AR18">
        <v>3232</v>
      </c>
      <c r="AS18">
        <v>2571</v>
      </c>
      <c r="AT18">
        <v>661</v>
      </c>
      <c r="AU18">
        <v>1003</v>
      </c>
      <c r="AV18">
        <v>69654</v>
      </c>
      <c r="AW18">
        <v>2843</v>
      </c>
      <c r="AX18">
        <v>13743</v>
      </c>
      <c r="AY18">
        <v>20</v>
      </c>
      <c r="AZ18">
        <v>23713</v>
      </c>
      <c r="BA18">
        <v>0.495</v>
      </c>
      <c r="BB18">
        <v>4.7</v>
      </c>
    </row>
    <row r="19" spans="1:54" x14ac:dyDescent="0.3">
      <c r="A19" s="6">
        <v>19</v>
      </c>
      <c r="B19" s="8">
        <v>18</v>
      </c>
      <c r="C19" s="7" t="str">
        <f t="shared" si="0"/>
        <v>19_18</v>
      </c>
      <c r="D19" s="8" t="s">
        <v>19</v>
      </c>
      <c r="E19" s="8" t="s">
        <v>86</v>
      </c>
      <c r="F19" s="8" t="s">
        <v>86</v>
      </c>
      <c r="G19" s="8" t="s">
        <v>86</v>
      </c>
      <c r="H19" s="6" t="s">
        <v>39</v>
      </c>
      <c r="I19" s="6" t="s">
        <v>86</v>
      </c>
      <c r="J19" s="6">
        <v>1</v>
      </c>
      <c r="K19" s="6">
        <v>1</v>
      </c>
      <c r="L19" s="6">
        <v>1</v>
      </c>
      <c r="M19" s="6">
        <v>1</v>
      </c>
      <c r="N19" s="6">
        <v>0</v>
      </c>
      <c r="O19" s="6">
        <v>0</v>
      </c>
      <c r="P19" s="6">
        <v>0</v>
      </c>
      <c r="Q19" s="6">
        <v>0</v>
      </c>
      <c r="R19" s="6">
        <v>1</v>
      </c>
      <c r="S19" s="6">
        <v>0</v>
      </c>
      <c r="T19" s="6">
        <v>0</v>
      </c>
      <c r="U19" s="6">
        <v>0</v>
      </c>
      <c r="V19" s="6">
        <v>0</v>
      </c>
      <c r="W19" s="6">
        <v>1</v>
      </c>
      <c r="X19" s="6">
        <v>0</v>
      </c>
      <c r="Y19" s="6">
        <v>1</v>
      </c>
      <c r="Z19" s="10">
        <v>0</v>
      </c>
      <c r="AA19" s="6">
        <v>3</v>
      </c>
      <c r="AB19" s="6">
        <v>1</v>
      </c>
      <c r="AC19" s="6">
        <v>2</v>
      </c>
      <c r="AD19" s="6">
        <v>6</v>
      </c>
      <c r="AE19" s="6">
        <v>2.5</v>
      </c>
      <c r="AF19" s="6">
        <v>1</v>
      </c>
      <c r="AG19" s="6">
        <v>2</v>
      </c>
      <c r="AH19" s="6">
        <v>1.8333333329999999</v>
      </c>
      <c r="AI19" s="6" t="s">
        <v>86</v>
      </c>
      <c r="AJ19" s="9" t="s">
        <v>382</v>
      </c>
      <c r="AK19">
        <v>15475</v>
      </c>
      <c r="AL19" t="s">
        <v>105</v>
      </c>
      <c r="AM19" t="s">
        <v>118</v>
      </c>
      <c r="AN19" t="s">
        <v>107</v>
      </c>
      <c r="AO19" t="s">
        <v>119</v>
      </c>
      <c r="AP19" t="s">
        <v>109</v>
      </c>
      <c r="AQ19">
        <v>13570</v>
      </c>
      <c r="AR19">
        <v>3232</v>
      </c>
      <c r="AS19">
        <v>2571</v>
      </c>
      <c r="AT19">
        <v>661</v>
      </c>
      <c r="AU19">
        <v>1003</v>
      </c>
      <c r="AV19">
        <v>69654</v>
      </c>
      <c r="AW19">
        <v>2843</v>
      </c>
      <c r="AX19">
        <v>13743</v>
      </c>
      <c r="AY19">
        <v>20</v>
      </c>
      <c r="AZ19">
        <v>23713</v>
      </c>
      <c r="BA19">
        <v>0.495</v>
      </c>
      <c r="BB19">
        <v>4.7</v>
      </c>
    </row>
    <row r="20" spans="1:54" x14ac:dyDescent="0.3">
      <c r="A20" s="6">
        <v>19</v>
      </c>
      <c r="B20" s="8">
        <v>19</v>
      </c>
      <c r="C20" s="7" t="str">
        <f t="shared" si="0"/>
        <v>19_19</v>
      </c>
      <c r="D20" s="8" t="s">
        <v>20</v>
      </c>
      <c r="E20" s="8" t="s">
        <v>86</v>
      </c>
      <c r="F20" s="8" t="s">
        <v>86</v>
      </c>
      <c r="G20" s="8" t="s">
        <v>86</v>
      </c>
      <c r="H20" s="6" t="s">
        <v>43</v>
      </c>
      <c r="I20" s="6" t="s">
        <v>86</v>
      </c>
      <c r="J20" s="6">
        <v>2</v>
      </c>
      <c r="K20" s="6">
        <v>1</v>
      </c>
      <c r="L20" s="6">
        <v>1</v>
      </c>
      <c r="M20" s="6">
        <v>0</v>
      </c>
      <c r="N20" s="6">
        <v>1</v>
      </c>
      <c r="O20" s="6">
        <v>0</v>
      </c>
      <c r="P20" s="6">
        <v>0</v>
      </c>
      <c r="Q20" s="6">
        <v>1</v>
      </c>
      <c r="R20" s="6">
        <v>1</v>
      </c>
      <c r="S20" s="6">
        <v>0</v>
      </c>
      <c r="T20" s="6">
        <v>0</v>
      </c>
      <c r="U20" s="6">
        <v>0</v>
      </c>
      <c r="V20" s="6">
        <v>0</v>
      </c>
      <c r="W20" s="6">
        <v>1</v>
      </c>
      <c r="X20" s="6">
        <v>0</v>
      </c>
      <c r="Y20" s="6">
        <v>1</v>
      </c>
      <c r="Z20" s="10">
        <v>1</v>
      </c>
      <c r="AA20" s="6">
        <v>3</v>
      </c>
      <c r="AB20" s="6">
        <v>2</v>
      </c>
      <c r="AC20" s="6">
        <v>3</v>
      </c>
      <c r="AD20" s="6">
        <v>8</v>
      </c>
      <c r="AE20" s="6">
        <v>2.5</v>
      </c>
      <c r="AF20" s="6">
        <v>2</v>
      </c>
      <c r="AG20" s="6">
        <v>3</v>
      </c>
      <c r="AH20" s="6">
        <v>2.5</v>
      </c>
      <c r="AI20" s="6" t="s">
        <v>86</v>
      </c>
      <c r="AJ20" s="9" t="s">
        <v>383</v>
      </c>
      <c r="AK20">
        <v>15474</v>
      </c>
      <c r="AL20" t="s">
        <v>105</v>
      </c>
      <c r="AM20" t="s">
        <v>116</v>
      </c>
      <c r="AN20" t="s">
        <v>107</v>
      </c>
      <c r="AO20" t="s">
        <v>117</v>
      </c>
      <c r="AP20" t="s">
        <v>109</v>
      </c>
      <c r="AQ20">
        <v>16780</v>
      </c>
      <c r="AR20">
        <v>3833</v>
      </c>
      <c r="AS20">
        <v>3217</v>
      </c>
      <c r="AT20">
        <v>616</v>
      </c>
      <c r="AU20">
        <v>1115</v>
      </c>
      <c r="AV20">
        <v>62492</v>
      </c>
      <c r="AW20">
        <v>2842</v>
      </c>
      <c r="AX20">
        <v>16396</v>
      </c>
      <c r="AY20">
        <v>26</v>
      </c>
      <c r="AZ20">
        <v>23713</v>
      </c>
      <c r="BA20">
        <v>0.495</v>
      </c>
      <c r="BB20">
        <v>4.7</v>
      </c>
    </row>
    <row r="21" spans="1:54" x14ac:dyDescent="0.3">
      <c r="A21" s="6">
        <v>19</v>
      </c>
      <c r="B21" s="8">
        <v>20</v>
      </c>
      <c r="C21" s="7" t="str">
        <f t="shared" si="0"/>
        <v>19_20</v>
      </c>
      <c r="D21" s="8" t="s">
        <v>21</v>
      </c>
      <c r="E21" s="8">
        <v>1</v>
      </c>
      <c r="F21" s="8">
        <v>0</v>
      </c>
      <c r="G21" s="8">
        <v>2</v>
      </c>
      <c r="H21" s="6" t="s">
        <v>42</v>
      </c>
      <c r="I21" s="6" t="s">
        <v>86</v>
      </c>
      <c r="J21" s="6">
        <v>2</v>
      </c>
      <c r="K21" s="6">
        <v>0</v>
      </c>
      <c r="L21" s="6">
        <v>1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10">
        <v>1</v>
      </c>
      <c r="AA21" s="6">
        <v>2</v>
      </c>
      <c r="AB21" s="6">
        <v>0</v>
      </c>
      <c r="AC21" s="6">
        <v>1</v>
      </c>
      <c r="AD21" s="6">
        <v>3</v>
      </c>
      <c r="AE21" s="6">
        <v>1.6666666670000001</v>
      </c>
      <c r="AF21" s="6">
        <v>0</v>
      </c>
      <c r="AG21" s="6">
        <v>1</v>
      </c>
      <c r="AH21" s="6">
        <v>0.88888888899999996</v>
      </c>
      <c r="AI21" s="6" t="s">
        <v>86</v>
      </c>
      <c r="AJ21" s="9" t="s">
        <v>368</v>
      </c>
      <c r="AK21">
        <v>15477</v>
      </c>
      <c r="AL21" t="s">
        <v>105</v>
      </c>
      <c r="AM21" t="s">
        <v>120</v>
      </c>
      <c r="AN21" t="s">
        <v>107</v>
      </c>
      <c r="AO21" t="s">
        <v>121</v>
      </c>
      <c r="AP21" t="s">
        <v>109</v>
      </c>
      <c r="AQ21">
        <v>25490</v>
      </c>
      <c r="AR21">
        <v>3347</v>
      </c>
      <c r="AS21">
        <v>2948</v>
      </c>
      <c r="AT21">
        <v>399</v>
      </c>
      <c r="AU21">
        <v>770</v>
      </c>
      <c r="AV21">
        <v>85726</v>
      </c>
      <c r="AW21">
        <v>2845</v>
      </c>
      <c r="AX21">
        <v>23033</v>
      </c>
      <c r="AY21">
        <v>27</v>
      </c>
      <c r="AZ21">
        <v>23713</v>
      </c>
      <c r="BA21">
        <v>0.495</v>
      </c>
      <c r="BB21">
        <v>4.7</v>
      </c>
    </row>
    <row r="22" spans="1:54" x14ac:dyDescent="0.3">
      <c r="A22" s="6">
        <v>19</v>
      </c>
      <c r="B22" s="8">
        <v>21</v>
      </c>
      <c r="C22" s="7" t="str">
        <f t="shared" si="0"/>
        <v>19_21</v>
      </c>
      <c r="D22" s="8" t="s">
        <v>22</v>
      </c>
      <c r="E22" s="8">
        <v>1</v>
      </c>
      <c r="F22" s="8">
        <v>0</v>
      </c>
      <c r="G22" s="8">
        <v>2</v>
      </c>
      <c r="H22" s="6" t="s">
        <v>44</v>
      </c>
      <c r="I22" s="6" t="s">
        <v>86</v>
      </c>
      <c r="J22" s="6">
        <v>4</v>
      </c>
      <c r="K22" s="6">
        <v>1</v>
      </c>
      <c r="L22" s="6">
        <v>1</v>
      </c>
      <c r="M22" s="6">
        <v>1</v>
      </c>
      <c r="N22" s="6">
        <v>0</v>
      </c>
      <c r="O22" s="6">
        <v>1</v>
      </c>
      <c r="P22" s="6">
        <v>1</v>
      </c>
      <c r="Q22" s="6">
        <v>0</v>
      </c>
      <c r="R22" s="6">
        <v>1</v>
      </c>
      <c r="S22" s="6">
        <v>1</v>
      </c>
      <c r="T22" s="6">
        <v>1</v>
      </c>
      <c r="U22" s="6">
        <v>0</v>
      </c>
      <c r="V22" s="6">
        <v>1</v>
      </c>
      <c r="W22" s="6">
        <v>1</v>
      </c>
      <c r="X22" s="6">
        <v>1</v>
      </c>
      <c r="Y22" s="6">
        <v>1</v>
      </c>
      <c r="Z22" s="10">
        <v>0</v>
      </c>
      <c r="AA22" s="6">
        <v>5</v>
      </c>
      <c r="AB22" s="6">
        <v>3</v>
      </c>
      <c r="AC22" s="6">
        <v>4</v>
      </c>
      <c r="AD22" s="6">
        <v>12</v>
      </c>
      <c r="AE22" s="6">
        <v>4.1666666670000003</v>
      </c>
      <c r="AF22" s="6">
        <v>3</v>
      </c>
      <c r="AG22" s="6">
        <v>4</v>
      </c>
      <c r="AH22" s="6">
        <v>3.7222222220000001</v>
      </c>
      <c r="AI22" s="6" t="s">
        <v>86</v>
      </c>
      <c r="AJ22" s="9">
        <v>0</v>
      </c>
      <c r="AK22">
        <v>806</v>
      </c>
      <c r="AL22" t="s">
        <v>105</v>
      </c>
      <c r="AM22" t="s">
        <v>122</v>
      </c>
      <c r="AN22" t="s">
        <v>107</v>
      </c>
      <c r="AO22" t="s">
        <v>123</v>
      </c>
      <c r="AP22" t="s">
        <v>124</v>
      </c>
      <c r="AQ22">
        <v>19500</v>
      </c>
      <c r="AR22">
        <v>2513</v>
      </c>
      <c r="AS22">
        <v>2083</v>
      </c>
      <c r="AT22">
        <v>430</v>
      </c>
      <c r="AU22">
        <v>584</v>
      </c>
      <c r="AV22">
        <v>284463</v>
      </c>
      <c r="AW22">
        <v>119</v>
      </c>
      <c r="AX22">
        <v>32393</v>
      </c>
      <c r="AY22">
        <v>11</v>
      </c>
      <c r="AZ22">
        <v>23713</v>
      </c>
      <c r="BA22">
        <v>0.495</v>
      </c>
      <c r="BB22">
        <v>4.7</v>
      </c>
    </row>
    <row r="23" spans="1:54" x14ac:dyDescent="0.3">
      <c r="A23" s="6">
        <v>19</v>
      </c>
      <c r="B23" s="8">
        <v>22</v>
      </c>
      <c r="C23" s="7" t="str">
        <f t="shared" si="0"/>
        <v>19_22</v>
      </c>
      <c r="D23" s="8" t="s">
        <v>23</v>
      </c>
      <c r="E23" s="8">
        <v>1</v>
      </c>
      <c r="F23" s="8">
        <v>1</v>
      </c>
      <c r="G23" s="8">
        <v>1</v>
      </c>
      <c r="H23" s="6" t="s">
        <v>43</v>
      </c>
      <c r="I23" s="6" t="s">
        <v>86</v>
      </c>
      <c r="J23" s="6">
        <v>3</v>
      </c>
      <c r="K23" s="6">
        <v>1</v>
      </c>
      <c r="L23" s="6">
        <v>1</v>
      </c>
      <c r="M23" s="6">
        <v>0</v>
      </c>
      <c r="N23" s="6">
        <v>1</v>
      </c>
      <c r="O23" s="6">
        <v>1</v>
      </c>
      <c r="P23" s="6">
        <v>0</v>
      </c>
      <c r="Q23" s="6">
        <v>0</v>
      </c>
      <c r="R23" s="6">
        <v>1</v>
      </c>
      <c r="S23" s="6">
        <v>1</v>
      </c>
      <c r="T23" s="6">
        <v>0</v>
      </c>
      <c r="U23" s="6">
        <v>0</v>
      </c>
      <c r="V23" s="6">
        <v>0</v>
      </c>
      <c r="W23" s="6">
        <v>1</v>
      </c>
      <c r="X23" s="6">
        <v>0</v>
      </c>
      <c r="Y23" s="6">
        <v>0</v>
      </c>
      <c r="Z23" s="10">
        <v>1</v>
      </c>
      <c r="AA23" s="6">
        <v>4</v>
      </c>
      <c r="AB23" s="6">
        <v>2</v>
      </c>
      <c r="AC23" s="6">
        <v>2</v>
      </c>
      <c r="AD23" s="6">
        <v>8</v>
      </c>
      <c r="AE23" s="6">
        <v>3.3333333330000001</v>
      </c>
      <c r="AF23" s="6">
        <v>2</v>
      </c>
      <c r="AG23" s="6">
        <v>2</v>
      </c>
      <c r="AH23" s="6">
        <v>2.4444444440000002</v>
      </c>
      <c r="AI23" s="6" t="s">
        <v>86</v>
      </c>
      <c r="AJ23" s="9">
        <v>1</v>
      </c>
      <c r="AK23">
        <v>15482</v>
      </c>
      <c r="AL23" t="s">
        <v>105</v>
      </c>
      <c r="AM23" t="s">
        <v>106</v>
      </c>
      <c r="AN23" t="s">
        <v>107</v>
      </c>
      <c r="AO23" t="s">
        <v>108</v>
      </c>
      <c r="AP23" t="s">
        <v>109</v>
      </c>
      <c r="AQ23">
        <v>30940</v>
      </c>
      <c r="AR23">
        <v>2522</v>
      </c>
      <c r="AS23">
        <v>2174</v>
      </c>
      <c r="AT23">
        <v>348</v>
      </c>
      <c r="AU23">
        <v>445</v>
      </c>
      <c r="AV23">
        <v>62599</v>
      </c>
      <c r="AW23">
        <v>2850</v>
      </c>
      <c r="AX23">
        <v>11777</v>
      </c>
      <c r="AY23">
        <v>19</v>
      </c>
      <c r="AZ23">
        <v>23713</v>
      </c>
      <c r="BA23">
        <v>0.495</v>
      </c>
      <c r="BB23">
        <v>4.7</v>
      </c>
    </row>
    <row r="24" spans="1:54" x14ac:dyDescent="0.3">
      <c r="A24" s="6">
        <v>19</v>
      </c>
      <c r="B24" s="8">
        <v>23</v>
      </c>
      <c r="C24" s="7" t="str">
        <f t="shared" si="0"/>
        <v>19_23</v>
      </c>
      <c r="D24" s="8" t="s">
        <v>24</v>
      </c>
      <c r="E24" s="8">
        <v>0</v>
      </c>
      <c r="F24" s="8">
        <v>0</v>
      </c>
      <c r="G24" s="8">
        <v>1</v>
      </c>
      <c r="H24" s="6" t="s">
        <v>42</v>
      </c>
      <c r="I24" s="6" t="s">
        <v>86</v>
      </c>
      <c r="J24" s="6">
        <v>0</v>
      </c>
      <c r="K24" s="6">
        <v>1</v>
      </c>
      <c r="L24" s="6">
        <v>0</v>
      </c>
      <c r="M24" s="6">
        <v>0</v>
      </c>
      <c r="N24" s="6">
        <v>1</v>
      </c>
      <c r="O24" s="6">
        <v>0</v>
      </c>
      <c r="P24" s="6">
        <v>0</v>
      </c>
      <c r="Q24" s="6">
        <v>0</v>
      </c>
      <c r="R24" s="6">
        <v>1</v>
      </c>
      <c r="S24" s="6">
        <v>1</v>
      </c>
      <c r="T24" s="6">
        <v>0</v>
      </c>
      <c r="U24" s="6">
        <v>0</v>
      </c>
      <c r="V24" s="6">
        <v>0</v>
      </c>
      <c r="W24" s="6">
        <v>1</v>
      </c>
      <c r="X24" s="6">
        <v>0</v>
      </c>
      <c r="Y24" s="6">
        <v>1</v>
      </c>
      <c r="Z24" s="10">
        <v>1</v>
      </c>
      <c r="AA24" s="6">
        <v>2</v>
      </c>
      <c r="AB24" s="6">
        <v>2</v>
      </c>
      <c r="AC24" s="6">
        <v>3</v>
      </c>
      <c r="AD24" s="6">
        <v>7</v>
      </c>
      <c r="AE24" s="6">
        <v>1.6666666670000001</v>
      </c>
      <c r="AF24" s="6">
        <v>2</v>
      </c>
      <c r="AG24" s="6">
        <v>3</v>
      </c>
      <c r="AH24" s="6">
        <v>2.2222222220000001</v>
      </c>
      <c r="AI24" s="6" t="s">
        <v>86</v>
      </c>
      <c r="AJ24" s="9">
        <v>2</v>
      </c>
      <c r="AK24">
        <v>15443</v>
      </c>
      <c r="AL24" t="s">
        <v>105</v>
      </c>
      <c r="AM24" t="s">
        <v>125</v>
      </c>
      <c r="AN24" t="s">
        <v>107</v>
      </c>
      <c r="AO24" t="s">
        <v>126</v>
      </c>
      <c r="AP24" t="s">
        <v>109</v>
      </c>
      <c r="AQ24">
        <v>19180</v>
      </c>
      <c r="AR24">
        <v>2571</v>
      </c>
      <c r="AS24">
        <v>2034</v>
      </c>
      <c r="AT24">
        <v>538</v>
      </c>
      <c r="AU24">
        <v>755</v>
      </c>
      <c r="AV24">
        <v>89612</v>
      </c>
      <c r="AW24">
        <v>2811</v>
      </c>
      <c r="AX24">
        <v>13224</v>
      </c>
      <c r="AY24">
        <v>15</v>
      </c>
      <c r="AZ24">
        <v>23713</v>
      </c>
      <c r="BA24">
        <v>0.495</v>
      </c>
      <c r="BB24">
        <v>4.7</v>
      </c>
    </row>
    <row r="25" spans="1:54" x14ac:dyDescent="0.3">
      <c r="A25" s="6">
        <v>19</v>
      </c>
      <c r="B25" s="8">
        <v>24</v>
      </c>
      <c r="C25" s="7" t="str">
        <f t="shared" si="0"/>
        <v>19_24</v>
      </c>
      <c r="D25" s="8" t="s">
        <v>25</v>
      </c>
      <c r="E25" s="8">
        <v>1</v>
      </c>
      <c r="F25" s="8">
        <v>0</v>
      </c>
      <c r="G25" s="8">
        <v>2</v>
      </c>
      <c r="H25" s="6" t="s">
        <v>39</v>
      </c>
      <c r="I25" s="6" t="s">
        <v>86</v>
      </c>
      <c r="J25" s="6">
        <v>3</v>
      </c>
      <c r="K25" s="6">
        <v>1</v>
      </c>
      <c r="L25" s="6">
        <v>1</v>
      </c>
      <c r="M25" s="6">
        <v>0</v>
      </c>
      <c r="N25" s="6">
        <v>1</v>
      </c>
      <c r="O25" s="6">
        <v>1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</v>
      </c>
      <c r="W25" s="6">
        <v>0</v>
      </c>
      <c r="X25" s="6">
        <v>0</v>
      </c>
      <c r="Y25" s="6">
        <v>0</v>
      </c>
      <c r="Z25" s="10">
        <v>0</v>
      </c>
      <c r="AA25" s="6">
        <v>4</v>
      </c>
      <c r="AB25" s="6">
        <v>0</v>
      </c>
      <c r="AC25" s="6">
        <v>1</v>
      </c>
      <c r="AD25" s="6">
        <v>5</v>
      </c>
      <c r="AE25" s="6">
        <v>3.3333333330000001</v>
      </c>
      <c r="AF25" s="6">
        <v>0</v>
      </c>
      <c r="AG25" s="6">
        <v>1</v>
      </c>
      <c r="AH25" s="6">
        <v>1.4444444439999999</v>
      </c>
      <c r="AI25" s="6" t="s">
        <v>86</v>
      </c>
      <c r="AJ25" s="9">
        <v>3</v>
      </c>
      <c r="AK25">
        <v>15466</v>
      </c>
      <c r="AL25" t="s">
        <v>105</v>
      </c>
      <c r="AM25" t="s">
        <v>127</v>
      </c>
      <c r="AN25" t="s">
        <v>107</v>
      </c>
      <c r="AO25" t="s">
        <v>128</v>
      </c>
      <c r="AP25" t="s">
        <v>109</v>
      </c>
      <c r="AQ25">
        <v>15630</v>
      </c>
      <c r="AR25">
        <v>1987</v>
      </c>
      <c r="AS25">
        <v>1684</v>
      </c>
      <c r="AT25">
        <v>303</v>
      </c>
      <c r="AU25">
        <v>556</v>
      </c>
      <c r="AV25">
        <v>30098</v>
      </c>
      <c r="AW25">
        <v>2834</v>
      </c>
      <c r="AX25">
        <v>8553</v>
      </c>
      <c r="AY25">
        <v>28</v>
      </c>
      <c r="AZ25">
        <v>23713</v>
      </c>
      <c r="BA25">
        <v>0.495</v>
      </c>
      <c r="BB25">
        <v>4.7</v>
      </c>
    </row>
    <row r="26" spans="1:54" x14ac:dyDescent="0.3">
      <c r="A26" s="6">
        <v>19</v>
      </c>
      <c r="B26" s="8">
        <v>25</v>
      </c>
      <c r="C26" s="7" t="str">
        <f t="shared" si="0"/>
        <v>19_25</v>
      </c>
      <c r="D26" s="8" t="s">
        <v>26</v>
      </c>
      <c r="E26" s="8">
        <v>1</v>
      </c>
      <c r="F26" s="8">
        <v>0</v>
      </c>
      <c r="G26" s="8">
        <v>2</v>
      </c>
      <c r="H26" s="6" t="s">
        <v>44</v>
      </c>
      <c r="I26" s="6" t="s">
        <v>86</v>
      </c>
      <c r="J26" s="6">
        <v>4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0</v>
      </c>
      <c r="U26" s="6">
        <v>0</v>
      </c>
      <c r="V26" s="6">
        <v>1</v>
      </c>
      <c r="W26" s="6">
        <v>1</v>
      </c>
      <c r="X26" s="6">
        <v>0</v>
      </c>
      <c r="Y26" s="6">
        <v>1</v>
      </c>
      <c r="Z26" s="10">
        <v>0</v>
      </c>
      <c r="AA26" s="6">
        <v>6</v>
      </c>
      <c r="AB26" s="6">
        <v>3</v>
      </c>
      <c r="AC26" s="6">
        <v>3</v>
      </c>
      <c r="AD26" s="6">
        <v>12</v>
      </c>
      <c r="AE26" s="6">
        <v>5</v>
      </c>
      <c r="AF26" s="6">
        <v>3</v>
      </c>
      <c r="AG26" s="6">
        <v>3</v>
      </c>
      <c r="AH26" s="6">
        <v>3.6666666669999999</v>
      </c>
      <c r="AI26" s="6" t="s">
        <v>45</v>
      </c>
      <c r="AJ26" s="9">
        <v>4</v>
      </c>
      <c r="AK26">
        <v>15447</v>
      </c>
      <c r="AL26" t="s">
        <v>105</v>
      </c>
      <c r="AM26" t="s">
        <v>129</v>
      </c>
      <c r="AN26" t="s">
        <v>130</v>
      </c>
      <c r="AO26" t="s">
        <v>131</v>
      </c>
      <c r="AP26" t="s">
        <v>109</v>
      </c>
      <c r="AQ26">
        <v>17190</v>
      </c>
      <c r="AR26">
        <v>1796</v>
      </c>
      <c r="AS26">
        <v>1053</v>
      </c>
      <c r="AT26">
        <v>743</v>
      </c>
      <c r="AU26">
        <v>868</v>
      </c>
      <c r="AV26">
        <v>609007</v>
      </c>
      <c r="AW26">
        <v>2815</v>
      </c>
      <c r="AX26">
        <v>92970</v>
      </c>
      <c r="AY26">
        <v>15</v>
      </c>
      <c r="AZ26">
        <v>23713</v>
      </c>
      <c r="BA26">
        <v>0.495</v>
      </c>
      <c r="BB26">
        <v>4.7</v>
      </c>
    </row>
    <row r="27" spans="1:54" x14ac:dyDescent="0.3">
      <c r="A27" s="6">
        <v>19</v>
      </c>
      <c r="B27" s="8">
        <v>26</v>
      </c>
      <c r="C27" s="7" t="str">
        <f t="shared" si="0"/>
        <v>19_26</v>
      </c>
      <c r="D27" s="8" t="s">
        <v>27</v>
      </c>
      <c r="E27" s="8">
        <v>1</v>
      </c>
      <c r="F27" s="8">
        <v>0</v>
      </c>
      <c r="G27" s="8">
        <v>2</v>
      </c>
      <c r="H27" s="6" t="s">
        <v>44</v>
      </c>
      <c r="I27" s="6" t="s">
        <v>86</v>
      </c>
      <c r="J27" s="6">
        <v>2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10">
        <v>1</v>
      </c>
      <c r="AA27" s="6">
        <v>5</v>
      </c>
      <c r="AB27" s="6">
        <v>0</v>
      </c>
      <c r="AC27" s="6">
        <v>1</v>
      </c>
      <c r="AD27" s="6">
        <v>6</v>
      </c>
      <c r="AE27" s="6">
        <v>4.1666666670000003</v>
      </c>
      <c r="AF27" s="6">
        <v>0</v>
      </c>
      <c r="AG27" s="6">
        <v>1</v>
      </c>
      <c r="AH27" s="6">
        <v>1.7222222220000001</v>
      </c>
      <c r="AI27" s="6" t="s">
        <v>86</v>
      </c>
      <c r="AJ27" s="9">
        <v>5</v>
      </c>
      <c r="AK27">
        <v>15470</v>
      </c>
      <c r="AL27" t="s">
        <v>105</v>
      </c>
      <c r="AM27" t="s">
        <v>132</v>
      </c>
      <c r="AN27" t="s">
        <v>107</v>
      </c>
      <c r="AO27" t="s">
        <v>133</v>
      </c>
      <c r="AP27" t="s">
        <v>109</v>
      </c>
      <c r="AQ27">
        <v>16960</v>
      </c>
      <c r="AR27">
        <v>2428</v>
      </c>
      <c r="AS27">
        <v>1949</v>
      </c>
      <c r="AT27">
        <v>479</v>
      </c>
      <c r="AU27">
        <v>720</v>
      </c>
      <c r="AV27">
        <v>113355</v>
      </c>
      <c r="AW27">
        <v>2838</v>
      </c>
      <c r="AX27">
        <v>55371</v>
      </c>
      <c r="AY27">
        <v>49</v>
      </c>
      <c r="AZ27">
        <v>23713</v>
      </c>
      <c r="BA27">
        <v>0.495</v>
      </c>
      <c r="BB27">
        <v>4.7</v>
      </c>
    </row>
    <row r="28" spans="1:54" x14ac:dyDescent="0.3">
      <c r="A28" s="6">
        <v>19</v>
      </c>
      <c r="B28" s="8">
        <v>27</v>
      </c>
      <c r="C28" s="7" t="str">
        <f t="shared" si="0"/>
        <v>19_27</v>
      </c>
      <c r="D28" s="8" t="s">
        <v>28</v>
      </c>
      <c r="E28" s="8">
        <v>0</v>
      </c>
      <c r="F28" s="8">
        <v>0</v>
      </c>
      <c r="G28" s="8">
        <v>1</v>
      </c>
      <c r="H28" s="6" t="s">
        <v>44</v>
      </c>
      <c r="I28" s="6" t="s">
        <v>86</v>
      </c>
      <c r="J28" s="6">
        <v>0</v>
      </c>
      <c r="K28" s="6">
        <v>1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  <c r="U28" s="6">
        <v>0</v>
      </c>
      <c r="V28" s="6">
        <v>0</v>
      </c>
      <c r="W28" s="6">
        <v>1</v>
      </c>
      <c r="X28" s="6">
        <v>0</v>
      </c>
      <c r="Y28" s="6">
        <v>1</v>
      </c>
      <c r="Z28" s="10">
        <v>0</v>
      </c>
      <c r="AA28" s="6">
        <v>1</v>
      </c>
      <c r="AB28" s="6">
        <v>1</v>
      </c>
      <c r="AC28" s="6">
        <v>2</v>
      </c>
      <c r="AD28" s="6">
        <v>4</v>
      </c>
      <c r="AE28" s="6">
        <v>0.83333333300000001</v>
      </c>
      <c r="AF28" s="6">
        <v>1</v>
      </c>
      <c r="AG28" s="6">
        <v>2</v>
      </c>
      <c r="AH28" s="6">
        <v>1.2777777779999999</v>
      </c>
      <c r="AI28" s="6" t="s">
        <v>46</v>
      </c>
      <c r="AJ28" s="9">
        <v>7</v>
      </c>
      <c r="AK28">
        <v>15447</v>
      </c>
      <c r="AL28" t="s">
        <v>105</v>
      </c>
      <c r="AM28" t="s">
        <v>129</v>
      </c>
      <c r="AN28" t="s">
        <v>130</v>
      </c>
      <c r="AO28" t="s">
        <v>131</v>
      </c>
      <c r="AP28" t="s">
        <v>109</v>
      </c>
      <c r="AQ28">
        <v>17190</v>
      </c>
      <c r="AR28">
        <v>1796</v>
      </c>
      <c r="AS28">
        <v>1053</v>
      </c>
      <c r="AT28">
        <v>743</v>
      </c>
      <c r="AU28">
        <v>868</v>
      </c>
      <c r="AV28">
        <v>609007</v>
      </c>
      <c r="AW28">
        <v>2815</v>
      </c>
      <c r="AX28">
        <v>92970</v>
      </c>
      <c r="AY28">
        <v>15</v>
      </c>
      <c r="AZ28">
        <v>23713</v>
      </c>
      <c r="BA28">
        <v>0.495</v>
      </c>
      <c r="BB28">
        <v>4.7</v>
      </c>
    </row>
    <row r="29" spans="1:54" x14ac:dyDescent="0.3">
      <c r="A29" s="6">
        <v>19</v>
      </c>
      <c r="B29" s="8">
        <v>28</v>
      </c>
      <c r="C29" s="7" t="str">
        <f t="shared" si="0"/>
        <v>19_28</v>
      </c>
      <c r="D29" s="8" t="s">
        <v>29</v>
      </c>
      <c r="E29" s="8">
        <v>1</v>
      </c>
      <c r="F29" s="8">
        <v>0</v>
      </c>
      <c r="G29" s="8">
        <v>2</v>
      </c>
      <c r="H29" s="6" t="s">
        <v>44</v>
      </c>
      <c r="I29" s="6" t="s">
        <v>86</v>
      </c>
      <c r="J29" s="6">
        <v>3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0</v>
      </c>
      <c r="R29" s="6">
        <v>0</v>
      </c>
      <c r="S29" s="6">
        <v>1</v>
      </c>
      <c r="T29" s="6">
        <v>0</v>
      </c>
      <c r="U29" s="6">
        <v>1</v>
      </c>
      <c r="V29" s="6">
        <v>1</v>
      </c>
      <c r="W29" s="6">
        <v>1</v>
      </c>
      <c r="X29" s="6">
        <v>0</v>
      </c>
      <c r="Y29" s="6">
        <v>0</v>
      </c>
      <c r="Z29" s="10">
        <v>0</v>
      </c>
      <c r="AA29" s="6">
        <v>6</v>
      </c>
      <c r="AB29" s="6">
        <v>2</v>
      </c>
      <c r="AC29" s="6">
        <v>2</v>
      </c>
      <c r="AD29" s="6">
        <v>10</v>
      </c>
      <c r="AE29" s="6">
        <v>5</v>
      </c>
      <c r="AF29" s="6">
        <v>2</v>
      </c>
      <c r="AG29" s="6">
        <v>2</v>
      </c>
      <c r="AH29" s="6">
        <v>3</v>
      </c>
      <c r="AI29" s="6" t="s">
        <v>47</v>
      </c>
      <c r="AJ29" s="9">
        <v>8</v>
      </c>
      <c r="AK29">
        <v>15489</v>
      </c>
      <c r="AL29" t="s">
        <v>105</v>
      </c>
      <c r="AM29" t="s">
        <v>134</v>
      </c>
      <c r="AN29" t="s">
        <v>107</v>
      </c>
      <c r="AO29" t="s">
        <v>135</v>
      </c>
      <c r="AP29" t="s">
        <v>109</v>
      </c>
      <c r="AQ29">
        <v>24460</v>
      </c>
      <c r="AR29">
        <v>2872</v>
      </c>
      <c r="AS29">
        <v>2461</v>
      </c>
      <c r="AT29">
        <v>411</v>
      </c>
      <c r="AU29">
        <v>728</v>
      </c>
      <c r="AV29">
        <v>64132</v>
      </c>
      <c r="AW29">
        <v>2857</v>
      </c>
      <c r="AX29">
        <v>18914</v>
      </c>
      <c r="AY29">
        <v>29</v>
      </c>
      <c r="AZ29">
        <v>23713</v>
      </c>
      <c r="BA29">
        <v>0.495</v>
      </c>
      <c r="BB29">
        <v>4.7</v>
      </c>
    </row>
    <row r="30" spans="1:54" s="29" customFormat="1" x14ac:dyDescent="0.3">
      <c r="A30" s="24">
        <v>19</v>
      </c>
      <c r="B30" s="25">
        <v>29</v>
      </c>
      <c r="C30" s="26" t="str">
        <f t="shared" si="0"/>
        <v>19_29</v>
      </c>
      <c r="D30" s="25" t="s">
        <v>30</v>
      </c>
      <c r="E30" s="25">
        <v>1</v>
      </c>
      <c r="F30" s="25">
        <v>0</v>
      </c>
      <c r="G30" s="25">
        <v>2</v>
      </c>
      <c r="H30" s="24" t="s">
        <v>44</v>
      </c>
      <c r="I30" s="24" t="s">
        <v>86</v>
      </c>
      <c r="J30" s="24">
        <v>2</v>
      </c>
      <c r="K30" s="24">
        <v>1</v>
      </c>
      <c r="L30" s="24">
        <v>0</v>
      </c>
      <c r="M30" s="24">
        <v>0</v>
      </c>
      <c r="N30" s="24">
        <v>1</v>
      </c>
      <c r="O30" s="24">
        <v>1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1</v>
      </c>
      <c r="W30" s="24">
        <v>0</v>
      </c>
      <c r="X30" s="24">
        <v>0</v>
      </c>
      <c r="Y30" s="24">
        <v>0</v>
      </c>
      <c r="Z30" s="27">
        <v>1</v>
      </c>
      <c r="AA30" s="24">
        <v>3</v>
      </c>
      <c r="AB30" s="24">
        <v>0</v>
      </c>
      <c r="AC30" s="24">
        <v>2</v>
      </c>
      <c r="AD30" s="24">
        <v>5</v>
      </c>
      <c r="AE30" s="24">
        <v>2.5</v>
      </c>
      <c r="AF30" s="24">
        <v>0</v>
      </c>
      <c r="AG30" s="24">
        <v>2</v>
      </c>
      <c r="AH30" s="24">
        <v>1.5</v>
      </c>
      <c r="AI30" s="24" t="s">
        <v>86</v>
      </c>
      <c r="AJ30" s="28">
        <v>9</v>
      </c>
      <c r="AK30" s="29">
        <v>1137</v>
      </c>
      <c r="AL30" s="29" t="s">
        <v>105</v>
      </c>
      <c r="AM30" s="29" t="s">
        <v>136</v>
      </c>
      <c r="AN30" s="29" t="s">
        <v>107</v>
      </c>
      <c r="AO30" s="29" t="s">
        <v>137</v>
      </c>
      <c r="AP30" s="29" t="s">
        <v>138</v>
      </c>
      <c r="AQ30" s="29" t="s">
        <v>86</v>
      </c>
      <c r="AR30" s="29">
        <v>0</v>
      </c>
      <c r="AS30" s="29">
        <v>0</v>
      </c>
      <c r="AT30" s="29">
        <v>0</v>
      </c>
      <c r="AU30" s="29">
        <v>0</v>
      </c>
      <c r="AV30" s="29">
        <v>140330</v>
      </c>
      <c r="AW30" s="29">
        <v>174</v>
      </c>
      <c r="AX30" s="29">
        <v>36778</v>
      </c>
      <c r="AY30" s="29">
        <v>26</v>
      </c>
      <c r="AZ30" s="29">
        <v>23713</v>
      </c>
      <c r="BA30" s="29">
        <v>0.495</v>
      </c>
      <c r="BB30" s="29">
        <v>4.7</v>
      </c>
    </row>
    <row r="31" spans="1:54" x14ac:dyDescent="0.3">
      <c r="A31" s="6">
        <v>19</v>
      </c>
      <c r="B31" s="8">
        <v>30</v>
      </c>
      <c r="C31" s="7" t="str">
        <f t="shared" si="0"/>
        <v>19_30</v>
      </c>
      <c r="D31" s="8" t="s">
        <v>31</v>
      </c>
      <c r="E31" s="8">
        <v>1</v>
      </c>
      <c r="F31" s="8">
        <v>0</v>
      </c>
      <c r="G31" s="8">
        <v>2</v>
      </c>
      <c r="H31" s="6" t="s">
        <v>44</v>
      </c>
      <c r="I31" s="6" t="s">
        <v>86</v>
      </c>
      <c r="J31" s="6">
        <v>2</v>
      </c>
      <c r="K31" s="6">
        <v>1</v>
      </c>
      <c r="L31" s="6">
        <v>0</v>
      </c>
      <c r="M31" s="6">
        <v>1</v>
      </c>
      <c r="N31" s="6">
        <v>1</v>
      </c>
      <c r="O31" s="6">
        <v>1</v>
      </c>
      <c r="P31" s="6">
        <v>0</v>
      </c>
      <c r="Q31" s="6">
        <v>0</v>
      </c>
      <c r="R31" s="6">
        <v>0</v>
      </c>
      <c r="S31" s="6">
        <v>1</v>
      </c>
      <c r="T31" s="6">
        <v>0</v>
      </c>
      <c r="U31" s="6">
        <v>0</v>
      </c>
      <c r="V31" s="6">
        <v>1</v>
      </c>
      <c r="W31" s="6">
        <v>1</v>
      </c>
      <c r="X31" s="6">
        <v>1</v>
      </c>
      <c r="Y31" s="6">
        <v>1</v>
      </c>
      <c r="Z31" s="10">
        <v>1</v>
      </c>
      <c r="AA31" s="6">
        <v>4</v>
      </c>
      <c r="AB31" s="6">
        <v>1</v>
      </c>
      <c r="AC31" s="6">
        <v>5</v>
      </c>
      <c r="AD31" s="6">
        <v>10</v>
      </c>
      <c r="AE31" s="6">
        <v>3.3333333330000001</v>
      </c>
      <c r="AF31" s="6">
        <v>1</v>
      </c>
      <c r="AG31" s="6">
        <v>5</v>
      </c>
      <c r="AH31" s="6">
        <v>3.111111111</v>
      </c>
      <c r="AI31" s="6" t="s">
        <v>48</v>
      </c>
      <c r="AJ31" s="9">
        <v>10</v>
      </c>
      <c r="AK31">
        <v>15476</v>
      </c>
      <c r="AL31" t="s">
        <v>105</v>
      </c>
      <c r="AM31" t="s">
        <v>139</v>
      </c>
      <c r="AN31" t="s">
        <v>130</v>
      </c>
      <c r="AO31" t="s">
        <v>140</v>
      </c>
      <c r="AP31" t="s">
        <v>109</v>
      </c>
      <c r="AQ31">
        <v>17020</v>
      </c>
      <c r="AR31">
        <v>1822</v>
      </c>
      <c r="AS31">
        <v>1447</v>
      </c>
      <c r="AT31">
        <v>374</v>
      </c>
      <c r="AU31">
        <v>533</v>
      </c>
      <c r="AV31">
        <v>300660</v>
      </c>
      <c r="AW31">
        <v>2844</v>
      </c>
      <c r="AX31">
        <v>97895</v>
      </c>
      <c r="AY31">
        <v>33</v>
      </c>
      <c r="AZ31">
        <v>23713</v>
      </c>
      <c r="BA31">
        <v>0.495</v>
      </c>
      <c r="BB31">
        <v>4.7</v>
      </c>
    </row>
    <row r="32" spans="1:54" x14ac:dyDescent="0.3">
      <c r="A32" s="6">
        <v>19</v>
      </c>
      <c r="B32" s="8">
        <v>31</v>
      </c>
      <c r="C32" s="7" t="str">
        <f t="shared" si="0"/>
        <v>19_31</v>
      </c>
      <c r="D32" s="8" t="s">
        <v>32</v>
      </c>
      <c r="E32" s="8">
        <v>0</v>
      </c>
      <c r="F32" s="8">
        <v>0</v>
      </c>
      <c r="G32" s="8">
        <v>2</v>
      </c>
      <c r="H32" s="6" t="s">
        <v>40</v>
      </c>
      <c r="I32" s="6" t="s">
        <v>86</v>
      </c>
      <c r="J32" s="6">
        <v>1</v>
      </c>
      <c r="K32" s="6">
        <v>1</v>
      </c>
      <c r="L32" s="6">
        <v>1</v>
      </c>
      <c r="M32" s="6">
        <v>0</v>
      </c>
      <c r="N32" s="6">
        <v>1</v>
      </c>
      <c r="O32" s="6">
        <v>1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1</v>
      </c>
      <c r="X32" s="6">
        <v>1</v>
      </c>
      <c r="Y32" s="6">
        <v>0</v>
      </c>
      <c r="Z32" s="10">
        <v>0</v>
      </c>
      <c r="AA32" s="6">
        <v>4</v>
      </c>
      <c r="AB32" s="6">
        <v>0</v>
      </c>
      <c r="AC32" s="6">
        <v>2</v>
      </c>
      <c r="AD32" s="6">
        <v>6</v>
      </c>
      <c r="AE32" s="6">
        <v>3.3333333330000001</v>
      </c>
      <c r="AF32" s="6">
        <v>0</v>
      </c>
      <c r="AG32" s="6">
        <v>2</v>
      </c>
      <c r="AH32" s="6">
        <v>1.7777777779999999</v>
      </c>
      <c r="AI32" s="6" t="s">
        <v>86</v>
      </c>
      <c r="AJ32" s="9">
        <v>11</v>
      </c>
      <c r="AK32">
        <v>15473</v>
      </c>
      <c r="AL32" t="s">
        <v>105</v>
      </c>
      <c r="AM32" t="s">
        <v>141</v>
      </c>
      <c r="AN32" t="s">
        <v>107</v>
      </c>
      <c r="AO32" t="s">
        <v>142</v>
      </c>
      <c r="AP32" t="s">
        <v>109</v>
      </c>
      <c r="AQ32">
        <v>14320</v>
      </c>
      <c r="AR32">
        <v>1486</v>
      </c>
      <c r="AS32">
        <v>1012</v>
      </c>
      <c r="AT32">
        <v>474</v>
      </c>
      <c r="AU32">
        <v>603</v>
      </c>
      <c r="AV32">
        <v>44418</v>
      </c>
      <c r="AW32">
        <v>2841</v>
      </c>
      <c r="AX32">
        <v>11158</v>
      </c>
      <c r="AY32">
        <v>25</v>
      </c>
      <c r="AZ32">
        <v>23713</v>
      </c>
      <c r="BA32">
        <v>0.495</v>
      </c>
      <c r="BB32">
        <v>4.7</v>
      </c>
    </row>
    <row r="33" spans="1:54" s="29" customFormat="1" x14ac:dyDescent="0.3">
      <c r="A33" s="24">
        <v>19</v>
      </c>
      <c r="B33" s="25">
        <v>32</v>
      </c>
      <c r="C33" s="26" t="str">
        <f t="shared" si="0"/>
        <v>19_32</v>
      </c>
      <c r="D33" s="25" t="s">
        <v>33</v>
      </c>
      <c r="E33" s="25">
        <v>1</v>
      </c>
      <c r="F33" s="25">
        <v>0</v>
      </c>
      <c r="G33" s="25">
        <v>2</v>
      </c>
      <c r="H33" s="24" t="s">
        <v>44</v>
      </c>
      <c r="I33" s="24" t="s">
        <v>86</v>
      </c>
      <c r="J33" s="24">
        <v>2</v>
      </c>
      <c r="K33" s="24">
        <v>1</v>
      </c>
      <c r="L33" s="24">
        <v>0</v>
      </c>
      <c r="M33" s="24">
        <v>0</v>
      </c>
      <c r="N33" s="24">
        <v>1</v>
      </c>
      <c r="O33" s="24">
        <v>1</v>
      </c>
      <c r="P33" s="24">
        <v>0</v>
      </c>
      <c r="Q33" s="24">
        <v>0</v>
      </c>
      <c r="R33" s="24">
        <v>1</v>
      </c>
      <c r="S33" s="24">
        <v>0</v>
      </c>
      <c r="T33" s="24">
        <v>0</v>
      </c>
      <c r="U33" s="24">
        <v>0</v>
      </c>
      <c r="V33" s="24">
        <v>1</v>
      </c>
      <c r="W33" s="24">
        <v>0</v>
      </c>
      <c r="X33" s="24">
        <v>0</v>
      </c>
      <c r="Y33" s="24">
        <v>0</v>
      </c>
      <c r="Z33" s="27">
        <v>1</v>
      </c>
      <c r="AA33" s="24">
        <v>3</v>
      </c>
      <c r="AB33" s="24">
        <v>1</v>
      </c>
      <c r="AC33" s="24">
        <v>2</v>
      </c>
      <c r="AD33" s="24">
        <v>6</v>
      </c>
      <c r="AE33" s="24">
        <v>2.5</v>
      </c>
      <c r="AF33" s="24">
        <v>1</v>
      </c>
      <c r="AG33" s="24">
        <v>2</v>
      </c>
      <c r="AH33" s="24">
        <v>1.8333333329999999</v>
      </c>
      <c r="AI33" s="24" t="s">
        <v>49</v>
      </c>
      <c r="AJ33" s="28">
        <v>12</v>
      </c>
      <c r="AK33" s="29">
        <v>807</v>
      </c>
      <c r="AL33" s="29" t="s">
        <v>105</v>
      </c>
      <c r="AM33" s="29" t="s">
        <v>143</v>
      </c>
      <c r="AN33" s="29" t="s">
        <v>107</v>
      </c>
      <c r="AO33" s="29" t="s">
        <v>144</v>
      </c>
      <c r="AP33" s="29" t="s">
        <v>124</v>
      </c>
      <c r="AQ33" s="29" t="s">
        <v>86</v>
      </c>
      <c r="AR33" s="29">
        <v>559</v>
      </c>
      <c r="AS33" s="29">
        <v>451</v>
      </c>
      <c r="AT33" s="29">
        <v>108</v>
      </c>
      <c r="AU33" s="29">
        <v>126</v>
      </c>
      <c r="AV33" s="29">
        <v>140797</v>
      </c>
      <c r="AW33" s="29">
        <v>120</v>
      </c>
      <c r="AX33" s="29">
        <v>46743</v>
      </c>
      <c r="AY33" s="29">
        <v>33</v>
      </c>
      <c r="AZ33" s="29">
        <v>23713</v>
      </c>
      <c r="BA33" s="29">
        <v>0.495</v>
      </c>
      <c r="BB33" s="29">
        <v>4.7</v>
      </c>
    </row>
    <row r="34" spans="1:54" x14ac:dyDescent="0.3">
      <c r="A34" s="6">
        <v>19</v>
      </c>
      <c r="B34" s="8">
        <v>33</v>
      </c>
      <c r="C34" s="7" t="str">
        <f t="shared" si="0"/>
        <v>19_33</v>
      </c>
      <c r="D34" s="8" t="s">
        <v>34</v>
      </c>
      <c r="E34" s="8">
        <v>1</v>
      </c>
      <c r="F34" s="8">
        <v>0</v>
      </c>
      <c r="G34" s="8">
        <v>2</v>
      </c>
      <c r="H34" s="6" t="s">
        <v>44</v>
      </c>
      <c r="I34" s="6" t="s">
        <v>86</v>
      </c>
      <c r="J34" s="6">
        <v>2</v>
      </c>
      <c r="K34" s="6">
        <v>1</v>
      </c>
      <c r="L34" s="6">
        <v>1</v>
      </c>
      <c r="M34" s="6">
        <v>0</v>
      </c>
      <c r="N34" s="6">
        <v>1</v>
      </c>
      <c r="O34" s="6">
        <v>1</v>
      </c>
      <c r="P34" s="6">
        <v>1</v>
      </c>
      <c r="Q34" s="6">
        <v>0</v>
      </c>
      <c r="R34" s="6">
        <v>0</v>
      </c>
      <c r="S34" s="6">
        <v>1</v>
      </c>
      <c r="T34" s="6">
        <v>0</v>
      </c>
      <c r="U34" s="6">
        <v>0</v>
      </c>
      <c r="V34" s="6">
        <v>1</v>
      </c>
      <c r="W34" s="6">
        <v>0</v>
      </c>
      <c r="X34" s="6">
        <v>0</v>
      </c>
      <c r="Y34" s="6">
        <v>0</v>
      </c>
      <c r="Z34" s="10">
        <v>1</v>
      </c>
      <c r="AA34" s="6">
        <v>5</v>
      </c>
      <c r="AB34" s="6">
        <v>1</v>
      </c>
      <c r="AC34" s="6">
        <v>2</v>
      </c>
      <c r="AD34" s="6">
        <v>8</v>
      </c>
      <c r="AE34" s="6">
        <v>4.1666666670000003</v>
      </c>
      <c r="AF34" s="6">
        <v>1</v>
      </c>
      <c r="AG34" s="6">
        <v>2</v>
      </c>
      <c r="AH34" s="6">
        <v>2.388888889</v>
      </c>
      <c r="AI34" s="6" t="s">
        <v>86</v>
      </c>
      <c r="AJ34" s="9">
        <v>13</v>
      </c>
      <c r="AK34">
        <v>15447</v>
      </c>
      <c r="AL34" t="s">
        <v>105</v>
      </c>
      <c r="AM34" t="s">
        <v>129</v>
      </c>
      <c r="AN34" t="s">
        <v>130</v>
      </c>
      <c r="AO34" t="s">
        <v>131</v>
      </c>
      <c r="AP34" t="s">
        <v>109</v>
      </c>
      <c r="AQ34">
        <v>17190</v>
      </c>
      <c r="AR34">
        <v>1796</v>
      </c>
      <c r="AS34">
        <v>1053</v>
      </c>
      <c r="AT34">
        <v>743</v>
      </c>
      <c r="AU34">
        <v>868</v>
      </c>
      <c r="AV34">
        <v>609007</v>
      </c>
      <c r="AW34">
        <v>2815</v>
      </c>
      <c r="AX34">
        <v>92970</v>
      </c>
      <c r="AY34">
        <v>15</v>
      </c>
      <c r="AZ34">
        <v>23713</v>
      </c>
      <c r="BA34">
        <v>0.495</v>
      </c>
      <c r="BB34">
        <v>4.7</v>
      </c>
    </row>
    <row r="35" spans="1:54" x14ac:dyDescent="0.3">
      <c r="A35" s="6">
        <v>19</v>
      </c>
      <c r="B35" s="8">
        <v>34</v>
      </c>
      <c r="C35" s="7" t="str">
        <f t="shared" si="0"/>
        <v>19_34</v>
      </c>
      <c r="D35" s="8" t="s">
        <v>35</v>
      </c>
      <c r="E35" s="8">
        <v>0</v>
      </c>
      <c r="F35" s="8">
        <v>0</v>
      </c>
      <c r="G35" s="8">
        <v>2</v>
      </c>
      <c r="H35" s="6" t="s">
        <v>42</v>
      </c>
      <c r="I35" s="6" t="s">
        <v>51</v>
      </c>
      <c r="J35" s="6">
        <v>1</v>
      </c>
      <c r="K35" s="6">
        <v>1</v>
      </c>
      <c r="L35" s="6">
        <v>1</v>
      </c>
      <c r="M35" s="6">
        <v>0</v>
      </c>
      <c r="N35" s="6">
        <v>1</v>
      </c>
      <c r="O35" s="6">
        <v>1</v>
      </c>
      <c r="P35" s="6">
        <v>0</v>
      </c>
      <c r="Q35" s="6">
        <v>1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1</v>
      </c>
      <c r="X35" s="6">
        <v>1</v>
      </c>
      <c r="Y35" s="6">
        <v>0</v>
      </c>
      <c r="Z35" s="10">
        <v>1</v>
      </c>
      <c r="AA35" s="6">
        <v>4</v>
      </c>
      <c r="AB35" s="6">
        <v>1</v>
      </c>
      <c r="AC35" s="6">
        <v>3</v>
      </c>
      <c r="AD35" s="6">
        <v>8</v>
      </c>
      <c r="AE35" s="6">
        <v>3.3333333330000001</v>
      </c>
      <c r="AF35" s="6">
        <v>1</v>
      </c>
      <c r="AG35" s="6">
        <v>3</v>
      </c>
      <c r="AH35" s="6">
        <v>2.4444444440000002</v>
      </c>
      <c r="AI35" s="6" t="s">
        <v>86</v>
      </c>
      <c r="AJ35" s="9">
        <v>14</v>
      </c>
      <c r="AK35">
        <v>15476</v>
      </c>
      <c r="AL35" t="s">
        <v>105</v>
      </c>
      <c r="AM35" t="s">
        <v>139</v>
      </c>
      <c r="AN35" t="s">
        <v>130</v>
      </c>
      <c r="AO35" t="s">
        <v>140</v>
      </c>
      <c r="AP35" t="s">
        <v>109</v>
      </c>
      <c r="AQ35">
        <v>17020</v>
      </c>
      <c r="AR35">
        <v>1822</v>
      </c>
      <c r="AS35">
        <v>1447</v>
      </c>
      <c r="AT35">
        <v>374</v>
      </c>
      <c r="AU35">
        <v>533</v>
      </c>
      <c r="AV35">
        <v>300660</v>
      </c>
      <c r="AW35">
        <v>2844</v>
      </c>
      <c r="AX35">
        <v>97895</v>
      </c>
      <c r="AY35">
        <v>33</v>
      </c>
      <c r="AZ35">
        <v>23713</v>
      </c>
      <c r="BA35">
        <v>0.495</v>
      </c>
      <c r="BB35">
        <v>4.7</v>
      </c>
    </row>
    <row r="36" spans="1:54" x14ac:dyDescent="0.3">
      <c r="A36" s="6">
        <v>19</v>
      </c>
      <c r="B36" s="8">
        <v>35</v>
      </c>
      <c r="C36" s="7" t="str">
        <f t="shared" si="0"/>
        <v>19_35</v>
      </c>
      <c r="D36" s="8" t="s">
        <v>36</v>
      </c>
      <c r="E36" s="8">
        <v>1</v>
      </c>
      <c r="F36" s="8">
        <v>0</v>
      </c>
      <c r="G36" s="8">
        <v>2</v>
      </c>
      <c r="H36" s="6" t="s">
        <v>42</v>
      </c>
      <c r="I36" s="6" t="s">
        <v>52</v>
      </c>
      <c r="J36" s="6">
        <v>2</v>
      </c>
      <c r="K36" s="6">
        <v>1</v>
      </c>
      <c r="L36" s="6">
        <v>0</v>
      </c>
      <c r="M36" s="6">
        <v>0</v>
      </c>
      <c r="N36" s="6">
        <v>0</v>
      </c>
      <c r="O36" s="6">
        <v>1</v>
      </c>
      <c r="P36" s="6">
        <v>0</v>
      </c>
      <c r="Q36" s="6">
        <v>0</v>
      </c>
      <c r="R36" s="6">
        <v>0</v>
      </c>
      <c r="S36" s="6">
        <v>1</v>
      </c>
      <c r="T36" s="6">
        <v>0</v>
      </c>
      <c r="U36" s="6">
        <v>1</v>
      </c>
      <c r="V36" s="6">
        <v>1</v>
      </c>
      <c r="W36" s="6">
        <v>1</v>
      </c>
      <c r="X36" s="6">
        <v>0</v>
      </c>
      <c r="Y36" s="6">
        <v>0</v>
      </c>
      <c r="Z36" s="10">
        <v>1</v>
      </c>
      <c r="AA36" s="6">
        <v>2</v>
      </c>
      <c r="AB36" s="6">
        <v>2</v>
      </c>
      <c r="AC36" s="6">
        <v>3</v>
      </c>
      <c r="AD36" s="6">
        <v>7</v>
      </c>
      <c r="AE36" s="6">
        <v>1.6666666670000001</v>
      </c>
      <c r="AF36" s="6">
        <v>2</v>
      </c>
      <c r="AG36" s="6">
        <v>3</v>
      </c>
      <c r="AH36" s="6">
        <v>2.2222222220000001</v>
      </c>
      <c r="AI36" s="6" t="s">
        <v>86</v>
      </c>
      <c r="AJ36" s="9">
        <v>15</v>
      </c>
      <c r="AK36">
        <v>15432</v>
      </c>
      <c r="AL36" t="s">
        <v>105</v>
      </c>
      <c r="AM36" t="s">
        <v>145</v>
      </c>
      <c r="AN36" t="s">
        <v>107</v>
      </c>
      <c r="AO36" t="s">
        <v>146</v>
      </c>
      <c r="AP36" t="s">
        <v>109</v>
      </c>
      <c r="AQ36">
        <v>24760</v>
      </c>
      <c r="AR36">
        <v>3715</v>
      </c>
      <c r="AS36">
        <v>3251</v>
      </c>
      <c r="AT36">
        <v>465</v>
      </c>
      <c r="AU36">
        <v>802</v>
      </c>
      <c r="AV36">
        <v>75039</v>
      </c>
      <c r="AW36">
        <v>2800</v>
      </c>
      <c r="AX36">
        <v>21689</v>
      </c>
      <c r="AY36">
        <v>29</v>
      </c>
      <c r="AZ36">
        <v>23713</v>
      </c>
      <c r="BA36">
        <v>0.495</v>
      </c>
      <c r="BB36">
        <v>4.7</v>
      </c>
    </row>
    <row r="37" spans="1:54" x14ac:dyDescent="0.3">
      <c r="A37" s="6">
        <v>19</v>
      </c>
      <c r="B37" s="8">
        <v>36</v>
      </c>
      <c r="C37" s="7" t="str">
        <f t="shared" si="0"/>
        <v>19_36</v>
      </c>
      <c r="D37" s="8" t="s">
        <v>37</v>
      </c>
      <c r="E37" s="8">
        <v>1</v>
      </c>
      <c r="F37" s="8">
        <v>0</v>
      </c>
      <c r="G37" s="8">
        <v>2</v>
      </c>
      <c r="H37" s="6" t="s">
        <v>43</v>
      </c>
      <c r="I37" s="6" t="s">
        <v>41</v>
      </c>
      <c r="J37" s="1">
        <v>2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1</v>
      </c>
      <c r="X37" s="1">
        <v>1</v>
      </c>
      <c r="Y37" s="1">
        <v>0</v>
      </c>
      <c r="Z37" s="4">
        <v>1</v>
      </c>
      <c r="AA37" s="1">
        <v>5</v>
      </c>
      <c r="AB37" s="1">
        <v>0</v>
      </c>
      <c r="AC37" s="1">
        <v>4</v>
      </c>
      <c r="AD37" s="1">
        <v>9</v>
      </c>
      <c r="AE37" s="1">
        <v>4.1666666670000003</v>
      </c>
      <c r="AF37" s="1">
        <v>0</v>
      </c>
      <c r="AG37" s="1">
        <v>4</v>
      </c>
      <c r="AH37" s="1">
        <v>2.7222222220000001</v>
      </c>
      <c r="AI37" s="6" t="s">
        <v>86</v>
      </c>
      <c r="AJ37" s="9">
        <v>16</v>
      </c>
      <c r="AK37">
        <v>15437</v>
      </c>
      <c r="AL37" t="s">
        <v>105</v>
      </c>
      <c r="AM37" t="s">
        <v>147</v>
      </c>
      <c r="AN37" t="s">
        <v>107</v>
      </c>
      <c r="AO37" t="s">
        <v>148</v>
      </c>
      <c r="AP37" t="s">
        <v>109</v>
      </c>
      <c r="AQ37">
        <v>14610</v>
      </c>
      <c r="AR37">
        <v>3134</v>
      </c>
      <c r="AS37">
        <v>2470</v>
      </c>
      <c r="AT37">
        <v>664</v>
      </c>
      <c r="AU37">
        <v>1130</v>
      </c>
      <c r="AV37">
        <v>66545</v>
      </c>
      <c r="AW37">
        <v>2805</v>
      </c>
      <c r="AX37">
        <v>13746</v>
      </c>
      <c r="AY37">
        <v>21</v>
      </c>
      <c r="AZ37">
        <v>23713</v>
      </c>
      <c r="BA37">
        <v>0.495</v>
      </c>
      <c r="BB37">
        <v>4.7</v>
      </c>
    </row>
    <row r="38" spans="1:54" x14ac:dyDescent="0.3">
      <c r="A38" s="6">
        <v>19</v>
      </c>
      <c r="B38" s="8">
        <v>37</v>
      </c>
      <c r="C38" s="7" t="str">
        <f>A38&amp;"_"&amp;B38</f>
        <v>19_37</v>
      </c>
      <c r="D38" s="8" t="s">
        <v>3</v>
      </c>
      <c r="E38" s="8">
        <v>1</v>
      </c>
      <c r="F38" s="8">
        <v>0</v>
      </c>
      <c r="G38" s="8">
        <v>2</v>
      </c>
      <c r="H38" s="6" t="s">
        <v>40</v>
      </c>
      <c r="I38" s="6" t="s">
        <v>41</v>
      </c>
      <c r="J38" s="6">
        <v>1</v>
      </c>
      <c r="K38" s="6">
        <v>1</v>
      </c>
      <c r="L38" s="6">
        <v>0</v>
      </c>
      <c r="M38" s="6">
        <v>1</v>
      </c>
      <c r="N38" s="6">
        <v>1</v>
      </c>
      <c r="O38" s="6">
        <v>1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1</v>
      </c>
      <c r="X38" s="6">
        <v>0</v>
      </c>
      <c r="Y38" s="6">
        <v>0</v>
      </c>
      <c r="Z38" s="10">
        <v>1</v>
      </c>
      <c r="AA38" s="6">
        <v>4</v>
      </c>
      <c r="AB38" s="6">
        <v>0</v>
      </c>
      <c r="AC38" s="6">
        <v>2</v>
      </c>
      <c r="AD38" s="6">
        <v>6</v>
      </c>
      <c r="AE38" s="6">
        <v>3.3333333330000001</v>
      </c>
      <c r="AF38" s="6">
        <v>0</v>
      </c>
      <c r="AG38" s="6">
        <v>2</v>
      </c>
      <c r="AH38" s="6">
        <v>1.7777777779999999</v>
      </c>
      <c r="AI38" s="6" t="s">
        <v>86</v>
      </c>
      <c r="AJ38" s="9">
        <v>34</v>
      </c>
      <c r="AK38">
        <v>15457</v>
      </c>
      <c r="AL38" t="s">
        <v>105</v>
      </c>
      <c r="AM38" t="s">
        <v>149</v>
      </c>
      <c r="AN38" t="s">
        <v>107</v>
      </c>
      <c r="AO38" t="s">
        <v>150</v>
      </c>
      <c r="AP38" t="s">
        <v>109</v>
      </c>
      <c r="AQ38">
        <v>27130</v>
      </c>
      <c r="AR38">
        <v>2756</v>
      </c>
      <c r="AS38">
        <v>2482</v>
      </c>
      <c r="AT38">
        <v>274</v>
      </c>
      <c r="AU38">
        <v>562</v>
      </c>
      <c r="AV38">
        <v>140938</v>
      </c>
      <c r="AW38">
        <v>2825</v>
      </c>
      <c r="AX38">
        <v>43959</v>
      </c>
      <c r="AY38">
        <v>31</v>
      </c>
      <c r="AZ38">
        <v>23713</v>
      </c>
      <c r="BA38">
        <v>0.495</v>
      </c>
      <c r="BB38">
        <v>4.7</v>
      </c>
    </row>
    <row r="39" spans="1:54" x14ac:dyDescent="0.3">
      <c r="A39" s="6">
        <v>7</v>
      </c>
      <c r="B39" s="16">
        <v>1</v>
      </c>
      <c r="C39" s="7" t="str">
        <f t="shared" ref="C39:C69" si="1">A39&amp;"_"&amp;B39</f>
        <v>7_1</v>
      </c>
      <c r="D39" s="8" t="s">
        <v>151</v>
      </c>
      <c r="E39" s="8">
        <v>1</v>
      </c>
      <c r="F39" s="8">
        <v>0</v>
      </c>
      <c r="G39" s="8">
        <v>2</v>
      </c>
      <c r="H39" s="6" t="s">
        <v>39</v>
      </c>
      <c r="I39" s="6" t="s">
        <v>181</v>
      </c>
      <c r="J39" s="6">
        <v>3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0</v>
      </c>
      <c r="S39" s="6">
        <v>0</v>
      </c>
      <c r="T39" s="6">
        <v>0</v>
      </c>
      <c r="U39" s="6">
        <v>0</v>
      </c>
      <c r="V39" s="6">
        <v>1</v>
      </c>
      <c r="W39" s="6">
        <v>1</v>
      </c>
      <c r="X39" s="6">
        <v>0</v>
      </c>
      <c r="Y39" s="6">
        <v>0</v>
      </c>
      <c r="Z39" s="10">
        <v>1</v>
      </c>
      <c r="AA39" s="6">
        <v>6</v>
      </c>
      <c r="AB39" s="6">
        <v>1</v>
      </c>
      <c r="AC39" s="6">
        <v>3</v>
      </c>
      <c r="AD39" s="6">
        <v>10</v>
      </c>
      <c r="AE39" s="6">
        <v>5</v>
      </c>
      <c r="AF39" s="6">
        <v>1</v>
      </c>
      <c r="AG39" s="6">
        <v>3</v>
      </c>
      <c r="AH39" s="6">
        <v>3</v>
      </c>
      <c r="AI39" s="6" t="s">
        <v>86</v>
      </c>
      <c r="AJ39" s="9">
        <v>0</v>
      </c>
      <c r="AK39">
        <v>15175</v>
      </c>
      <c r="AL39" t="s">
        <v>197</v>
      </c>
      <c r="AM39" t="s">
        <v>198</v>
      </c>
      <c r="AN39" t="s">
        <v>107</v>
      </c>
      <c r="AO39" t="s">
        <v>199</v>
      </c>
      <c r="AP39" t="s">
        <v>109</v>
      </c>
      <c r="AQ39">
        <v>50120</v>
      </c>
      <c r="AR39">
        <v>1896</v>
      </c>
      <c r="AS39">
        <v>1637</v>
      </c>
      <c r="AT39">
        <v>258</v>
      </c>
      <c r="AU39">
        <v>346</v>
      </c>
      <c r="AV39">
        <v>76775</v>
      </c>
      <c r="AW39">
        <v>2547</v>
      </c>
      <c r="AX39">
        <v>16563</v>
      </c>
      <c r="AY39">
        <v>22</v>
      </c>
      <c r="AZ39">
        <v>37053</v>
      </c>
      <c r="BA39">
        <v>0.36399999999999999</v>
      </c>
      <c r="BB39">
        <v>2.4</v>
      </c>
    </row>
    <row r="40" spans="1:54" x14ac:dyDescent="0.3">
      <c r="A40" s="6">
        <v>7</v>
      </c>
      <c r="B40" s="16">
        <v>2</v>
      </c>
      <c r="C40" s="7" t="str">
        <f t="shared" si="1"/>
        <v>7_2</v>
      </c>
      <c r="D40" s="8" t="s">
        <v>152</v>
      </c>
      <c r="E40" s="19">
        <v>0</v>
      </c>
      <c r="F40" s="19">
        <v>0</v>
      </c>
      <c r="G40" s="19">
        <v>1</v>
      </c>
      <c r="H40" t="s">
        <v>39</v>
      </c>
      <c r="I40" t="s">
        <v>51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1</v>
      </c>
      <c r="AA40">
        <v>1</v>
      </c>
      <c r="AB40">
        <v>1</v>
      </c>
      <c r="AC40">
        <v>3</v>
      </c>
      <c r="AD40">
        <v>5</v>
      </c>
      <c r="AE40">
        <v>0.83333333300000001</v>
      </c>
      <c r="AF40">
        <v>1</v>
      </c>
      <c r="AG40">
        <v>3</v>
      </c>
      <c r="AH40">
        <v>1.611111111</v>
      </c>
      <c r="AI40" s="6" t="s">
        <v>86</v>
      </c>
      <c r="AJ40" s="9">
        <v>1</v>
      </c>
      <c r="AK40">
        <v>14681</v>
      </c>
      <c r="AL40" t="s">
        <v>200</v>
      </c>
      <c r="AM40" t="s">
        <v>201</v>
      </c>
      <c r="AN40" t="s">
        <v>107</v>
      </c>
      <c r="AO40" t="s">
        <v>202</v>
      </c>
      <c r="AP40" t="s">
        <v>109</v>
      </c>
      <c r="AQ40">
        <v>44420</v>
      </c>
      <c r="AR40">
        <v>2819</v>
      </c>
      <c r="AS40">
        <v>2218</v>
      </c>
      <c r="AT40">
        <v>601</v>
      </c>
      <c r="AU40">
        <v>700</v>
      </c>
      <c r="AV40">
        <v>90633</v>
      </c>
      <c r="AW40">
        <v>2188</v>
      </c>
      <c r="AX40">
        <v>10614</v>
      </c>
      <c r="AY40">
        <v>12</v>
      </c>
      <c r="AZ40">
        <v>54890</v>
      </c>
      <c r="BA40">
        <v>0.64600000000000002</v>
      </c>
      <c r="BB40">
        <v>0.9</v>
      </c>
    </row>
    <row r="41" spans="1:54" x14ac:dyDescent="0.3">
      <c r="A41" s="6">
        <v>7</v>
      </c>
      <c r="B41" s="16">
        <v>3</v>
      </c>
      <c r="C41" s="7" t="str">
        <f t="shared" si="1"/>
        <v>7_3</v>
      </c>
      <c r="D41" s="8" t="s">
        <v>153</v>
      </c>
      <c r="E41" s="19">
        <v>1</v>
      </c>
      <c r="F41" s="19">
        <v>0</v>
      </c>
      <c r="G41" s="19">
        <v>2</v>
      </c>
      <c r="H41" t="s">
        <v>43</v>
      </c>
      <c r="I41" t="s">
        <v>182</v>
      </c>
      <c r="J41">
        <v>3</v>
      </c>
      <c r="K41">
        <v>1</v>
      </c>
      <c r="L41">
        <v>1</v>
      </c>
      <c r="M41">
        <v>0</v>
      </c>
      <c r="N41">
        <v>1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5</v>
      </c>
      <c r="AB41">
        <v>0</v>
      </c>
      <c r="AC41">
        <v>2</v>
      </c>
      <c r="AD41">
        <v>7</v>
      </c>
      <c r="AE41">
        <v>4.1666666670000003</v>
      </c>
      <c r="AF41">
        <v>0</v>
      </c>
      <c r="AG41">
        <v>2</v>
      </c>
      <c r="AH41">
        <v>2.0555555559999998</v>
      </c>
      <c r="AI41" t="s">
        <v>183</v>
      </c>
      <c r="AJ41" s="9">
        <v>2</v>
      </c>
      <c r="AK41">
        <v>14664</v>
      </c>
      <c r="AL41" t="s">
        <v>200</v>
      </c>
      <c r="AM41" t="s">
        <v>203</v>
      </c>
      <c r="AN41" t="s">
        <v>107</v>
      </c>
      <c r="AO41" t="s">
        <v>204</v>
      </c>
      <c r="AP41" t="s">
        <v>109</v>
      </c>
      <c r="AQ41">
        <v>46120</v>
      </c>
      <c r="AR41">
        <v>1652</v>
      </c>
      <c r="AS41">
        <v>1504</v>
      </c>
      <c r="AT41">
        <v>148</v>
      </c>
      <c r="AU41">
        <v>192</v>
      </c>
      <c r="AV41">
        <v>112197</v>
      </c>
      <c r="AW41">
        <v>2184</v>
      </c>
      <c r="AX41">
        <v>30777</v>
      </c>
      <c r="AY41">
        <v>27</v>
      </c>
      <c r="AZ41">
        <v>54890</v>
      </c>
      <c r="BA41">
        <v>0.64600000000000002</v>
      </c>
      <c r="BB41">
        <v>0.9</v>
      </c>
    </row>
    <row r="42" spans="1:54" s="5" customFormat="1" x14ac:dyDescent="0.3">
      <c r="A42" s="11">
        <v>7</v>
      </c>
      <c r="B42" s="18">
        <v>4</v>
      </c>
      <c r="C42" s="15" t="str">
        <f t="shared" si="1"/>
        <v>7_4</v>
      </c>
      <c r="D42" s="12" t="s">
        <v>154</v>
      </c>
      <c r="E42" s="21">
        <v>0</v>
      </c>
      <c r="F42" s="21">
        <v>0</v>
      </c>
      <c r="G42" s="21">
        <v>0</v>
      </c>
      <c r="H42" s="5" t="s">
        <v>86</v>
      </c>
      <c r="I42" s="5" t="s">
        <v>86</v>
      </c>
      <c r="J42" s="5" t="s">
        <v>86</v>
      </c>
      <c r="K42" s="5" t="s">
        <v>86</v>
      </c>
      <c r="L42" s="5" t="s">
        <v>86</v>
      </c>
      <c r="M42" s="5" t="s">
        <v>86</v>
      </c>
      <c r="N42" s="5" t="s">
        <v>86</v>
      </c>
      <c r="O42" s="5" t="s">
        <v>86</v>
      </c>
      <c r="P42" s="5" t="s">
        <v>86</v>
      </c>
      <c r="Q42" s="5" t="s">
        <v>86</v>
      </c>
      <c r="R42" s="5" t="s">
        <v>86</v>
      </c>
      <c r="S42" s="5" t="s">
        <v>86</v>
      </c>
      <c r="T42" s="5" t="s">
        <v>86</v>
      </c>
      <c r="U42" s="5" t="s">
        <v>86</v>
      </c>
      <c r="V42" s="5" t="s">
        <v>86</v>
      </c>
      <c r="W42" s="5" t="s">
        <v>86</v>
      </c>
      <c r="X42" s="5" t="s">
        <v>86</v>
      </c>
      <c r="Y42" s="5" t="s">
        <v>86</v>
      </c>
      <c r="Z42" s="5" t="s">
        <v>86</v>
      </c>
      <c r="AA42" s="5" t="s">
        <v>86</v>
      </c>
      <c r="AB42" s="5" t="s">
        <v>86</v>
      </c>
      <c r="AC42" s="5" t="s">
        <v>86</v>
      </c>
      <c r="AD42" s="5" t="s">
        <v>86</v>
      </c>
      <c r="AE42" s="5" t="s">
        <v>86</v>
      </c>
      <c r="AF42" s="5" t="s">
        <v>86</v>
      </c>
      <c r="AG42" s="5" t="s">
        <v>86</v>
      </c>
      <c r="AH42" s="5" t="s">
        <v>86</v>
      </c>
      <c r="AI42" s="5" t="s">
        <v>86</v>
      </c>
      <c r="AJ42" s="23">
        <v>3</v>
      </c>
      <c r="AK42" s="5">
        <v>14641</v>
      </c>
      <c r="AL42" s="5" t="s">
        <v>200</v>
      </c>
      <c r="AM42" s="5" t="s">
        <v>205</v>
      </c>
      <c r="AN42" s="5" t="s">
        <v>107</v>
      </c>
      <c r="AO42" s="5" t="s">
        <v>206</v>
      </c>
      <c r="AP42" s="5" t="s">
        <v>109</v>
      </c>
      <c r="AQ42" s="5">
        <v>46930</v>
      </c>
      <c r="AR42" s="5">
        <v>2537</v>
      </c>
      <c r="AS42" s="5">
        <v>2271</v>
      </c>
      <c r="AT42" s="5">
        <v>266</v>
      </c>
      <c r="AU42" s="5">
        <v>412</v>
      </c>
      <c r="AV42" s="5">
        <v>97664</v>
      </c>
      <c r="AW42" s="5">
        <v>2179</v>
      </c>
      <c r="AX42" s="5">
        <v>15258</v>
      </c>
      <c r="AY42" s="5">
        <v>16</v>
      </c>
      <c r="AZ42" s="5">
        <v>54890</v>
      </c>
      <c r="BA42" s="5">
        <v>0.64600000000000002</v>
      </c>
      <c r="BB42" s="5">
        <v>0.9</v>
      </c>
    </row>
    <row r="43" spans="1:54" x14ac:dyDescent="0.3">
      <c r="A43" s="6">
        <v>7</v>
      </c>
      <c r="B43" s="16">
        <v>5</v>
      </c>
      <c r="C43" s="7" t="str">
        <f t="shared" si="1"/>
        <v>7_5</v>
      </c>
      <c r="D43" s="8" t="s">
        <v>155</v>
      </c>
      <c r="E43" s="19">
        <v>0</v>
      </c>
      <c r="F43" s="19">
        <v>0</v>
      </c>
      <c r="G43" s="19">
        <v>2</v>
      </c>
      <c r="H43" t="s">
        <v>44</v>
      </c>
      <c r="I43" t="s">
        <v>51</v>
      </c>
      <c r="J43">
        <v>1</v>
      </c>
      <c r="K43">
        <v>1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3</v>
      </c>
      <c r="AB43">
        <v>0</v>
      </c>
      <c r="AC43">
        <v>1</v>
      </c>
      <c r="AD43">
        <v>4</v>
      </c>
      <c r="AE43">
        <v>2.5</v>
      </c>
      <c r="AF43">
        <v>0</v>
      </c>
      <c r="AG43">
        <v>1</v>
      </c>
      <c r="AH43">
        <v>1.1666666670000001</v>
      </c>
      <c r="AI43" s="6" t="s">
        <v>86</v>
      </c>
      <c r="AJ43" s="9">
        <v>4</v>
      </c>
      <c r="AK43">
        <v>14688</v>
      </c>
      <c r="AL43" t="s">
        <v>200</v>
      </c>
      <c r="AM43" t="s">
        <v>207</v>
      </c>
      <c r="AN43" t="s">
        <v>107</v>
      </c>
      <c r="AO43" t="s">
        <v>208</v>
      </c>
      <c r="AP43" t="s">
        <v>109</v>
      </c>
      <c r="AQ43">
        <v>59570</v>
      </c>
      <c r="AR43">
        <v>1540</v>
      </c>
      <c r="AS43">
        <v>1357</v>
      </c>
      <c r="AT43">
        <v>182</v>
      </c>
      <c r="AU43">
        <v>225</v>
      </c>
      <c r="AV43">
        <v>59934</v>
      </c>
      <c r="AW43">
        <v>2192</v>
      </c>
      <c r="AX43">
        <v>7081</v>
      </c>
      <c r="AY43">
        <v>12</v>
      </c>
      <c r="AZ43">
        <v>54890</v>
      </c>
      <c r="BA43">
        <v>0.64600000000000002</v>
      </c>
      <c r="BB43">
        <v>0.9</v>
      </c>
    </row>
    <row r="44" spans="1:54" s="5" customFormat="1" x14ac:dyDescent="0.3">
      <c r="A44" s="11">
        <v>7</v>
      </c>
      <c r="B44" s="18">
        <v>6</v>
      </c>
      <c r="C44" s="15" t="str">
        <f t="shared" si="1"/>
        <v>7_6</v>
      </c>
      <c r="D44" s="12" t="s">
        <v>156</v>
      </c>
      <c r="E44" s="21">
        <v>0</v>
      </c>
      <c r="F44" s="21">
        <v>0</v>
      </c>
      <c r="G44" s="21">
        <v>0</v>
      </c>
      <c r="H44" s="5" t="s">
        <v>86</v>
      </c>
      <c r="I44" s="5" t="s">
        <v>86</v>
      </c>
      <c r="J44" s="5" t="s">
        <v>86</v>
      </c>
      <c r="K44" s="5" t="s">
        <v>86</v>
      </c>
      <c r="L44" s="5" t="s">
        <v>86</v>
      </c>
      <c r="M44" s="5" t="s">
        <v>86</v>
      </c>
      <c r="N44" s="5" t="s">
        <v>86</v>
      </c>
      <c r="O44" s="5" t="s">
        <v>86</v>
      </c>
      <c r="P44" s="5" t="s">
        <v>86</v>
      </c>
      <c r="Q44" s="5" t="s">
        <v>86</v>
      </c>
      <c r="R44" s="5" t="s">
        <v>86</v>
      </c>
      <c r="S44" s="5" t="s">
        <v>86</v>
      </c>
      <c r="T44" s="5" t="s">
        <v>86</v>
      </c>
      <c r="U44" s="5" t="s">
        <v>86</v>
      </c>
      <c r="V44" s="5" t="s">
        <v>86</v>
      </c>
      <c r="W44" s="5" t="s">
        <v>86</v>
      </c>
      <c r="X44" s="5" t="s">
        <v>86</v>
      </c>
      <c r="Y44" s="5" t="s">
        <v>86</v>
      </c>
      <c r="Z44" s="5" t="s">
        <v>86</v>
      </c>
      <c r="AA44" s="5" t="s">
        <v>86</v>
      </c>
      <c r="AB44" s="5" t="s">
        <v>86</v>
      </c>
      <c r="AC44" s="5" t="s">
        <v>86</v>
      </c>
      <c r="AD44" s="5" t="s">
        <v>86</v>
      </c>
      <c r="AE44" s="5" t="s">
        <v>86</v>
      </c>
      <c r="AF44" s="5" t="s">
        <v>86</v>
      </c>
      <c r="AG44" s="5" t="s">
        <v>86</v>
      </c>
      <c r="AH44" s="5" t="s">
        <v>86</v>
      </c>
      <c r="AI44" s="5" t="s">
        <v>86</v>
      </c>
      <c r="AJ44" s="22">
        <v>5</v>
      </c>
      <c r="AK44" s="5">
        <v>14678</v>
      </c>
      <c r="AL44" s="5" t="s">
        <v>200</v>
      </c>
      <c r="AM44" s="5" t="s">
        <v>209</v>
      </c>
      <c r="AN44" s="5" t="s">
        <v>107</v>
      </c>
      <c r="AO44" s="5" t="s">
        <v>210</v>
      </c>
      <c r="AP44" s="5" t="s">
        <v>109</v>
      </c>
      <c r="AQ44" s="5">
        <v>39040</v>
      </c>
      <c r="AR44" s="5">
        <v>1493</v>
      </c>
      <c r="AS44" s="5">
        <v>1305</v>
      </c>
      <c r="AT44" s="5">
        <v>188</v>
      </c>
      <c r="AU44" s="5">
        <v>217</v>
      </c>
      <c r="AV44" s="5">
        <v>46297</v>
      </c>
      <c r="AW44" s="5">
        <v>2187</v>
      </c>
      <c r="AX44" s="5">
        <v>3252</v>
      </c>
      <c r="AY44" s="5">
        <v>7</v>
      </c>
      <c r="AZ44" s="5">
        <v>54890</v>
      </c>
      <c r="BA44" s="5">
        <v>0.64600000000000002</v>
      </c>
      <c r="BB44" s="5">
        <v>0.9</v>
      </c>
    </row>
    <row r="45" spans="1:54" x14ac:dyDescent="0.3">
      <c r="A45" s="6">
        <v>7</v>
      </c>
      <c r="B45" s="16">
        <v>7</v>
      </c>
      <c r="C45" s="7" t="str">
        <f t="shared" si="1"/>
        <v>7_7</v>
      </c>
      <c r="D45" s="8" t="s">
        <v>157</v>
      </c>
      <c r="E45" s="19">
        <v>0</v>
      </c>
      <c r="F45" s="19">
        <v>0</v>
      </c>
      <c r="G45" s="19">
        <v>1</v>
      </c>
      <c r="H45" t="s">
        <v>39</v>
      </c>
      <c r="I45" t="s">
        <v>184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1</v>
      </c>
      <c r="AB45">
        <v>1</v>
      </c>
      <c r="AC45">
        <v>2</v>
      </c>
      <c r="AD45">
        <v>4</v>
      </c>
      <c r="AE45">
        <v>0.83333333300000001</v>
      </c>
      <c r="AF45">
        <v>1</v>
      </c>
      <c r="AG45">
        <v>2</v>
      </c>
      <c r="AH45">
        <v>1.2777777779999999</v>
      </c>
      <c r="AI45" t="s">
        <v>86</v>
      </c>
      <c r="AJ45" s="9">
        <v>6</v>
      </c>
      <c r="AK45">
        <v>14633</v>
      </c>
      <c r="AL45" t="s">
        <v>200</v>
      </c>
      <c r="AM45" t="s">
        <v>211</v>
      </c>
      <c r="AN45" t="s">
        <v>107</v>
      </c>
      <c r="AO45" t="s">
        <v>212</v>
      </c>
      <c r="AP45" t="s">
        <v>109</v>
      </c>
      <c r="AQ45">
        <v>56170</v>
      </c>
      <c r="AR45">
        <v>1104</v>
      </c>
      <c r="AS45">
        <v>962</v>
      </c>
      <c r="AT45">
        <v>142</v>
      </c>
      <c r="AU45">
        <v>198</v>
      </c>
      <c r="AV45">
        <v>207934</v>
      </c>
      <c r="AW45">
        <v>2176</v>
      </c>
      <c r="AX45">
        <v>72529</v>
      </c>
      <c r="AY45">
        <v>35</v>
      </c>
      <c r="AZ45">
        <v>54890</v>
      </c>
      <c r="BA45">
        <v>0.64600000000000002</v>
      </c>
      <c r="BB45">
        <v>0.9</v>
      </c>
    </row>
    <row r="46" spans="1:54" x14ac:dyDescent="0.3">
      <c r="A46" s="6">
        <v>7</v>
      </c>
      <c r="B46" s="16">
        <v>8</v>
      </c>
      <c r="C46" s="7" t="str">
        <f t="shared" si="1"/>
        <v>7_8</v>
      </c>
      <c r="D46" s="8" t="s">
        <v>158</v>
      </c>
      <c r="E46" s="19">
        <v>1</v>
      </c>
      <c r="F46" s="19">
        <v>0</v>
      </c>
      <c r="G46" s="19">
        <v>2</v>
      </c>
      <c r="H46" t="s">
        <v>44</v>
      </c>
      <c r="I46" t="s">
        <v>182</v>
      </c>
      <c r="J46">
        <v>4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0</v>
      </c>
      <c r="R46">
        <v>1</v>
      </c>
      <c r="S46">
        <v>1</v>
      </c>
      <c r="T46">
        <v>0</v>
      </c>
      <c r="U46">
        <v>0</v>
      </c>
      <c r="V46">
        <v>1</v>
      </c>
      <c r="W46">
        <v>1</v>
      </c>
      <c r="X46">
        <v>0</v>
      </c>
      <c r="Y46">
        <v>1</v>
      </c>
      <c r="Z46">
        <v>1</v>
      </c>
      <c r="AA46">
        <v>5</v>
      </c>
      <c r="AB46">
        <v>2</v>
      </c>
      <c r="AC46">
        <v>4</v>
      </c>
      <c r="AD46">
        <v>11</v>
      </c>
      <c r="AE46">
        <v>4.1666666670000003</v>
      </c>
      <c r="AF46">
        <v>2</v>
      </c>
      <c r="AG46">
        <v>4</v>
      </c>
      <c r="AH46">
        <v>3.388888889</v>
      </c>
      <c r="AI46" t="s">
        <v>185</v>
      </c>
      <c r="AJ46" s="2">
        <v>7</v>
      </c>
      <c r="AK46">
        <v>14664</v>
      </c>
      <c r="AL46" t="s">
        <v>200</v>
      </c>
      <c r="AM46" t="s">
        <v>203</v>
      </c>
      <c r="AN46" t="s">
        <v>107</v>
      </c>
      <c r="AO46" t="s">
        <v>204</v>
      </c>
      <c r="AP46" t="s">
        <v>109</v>
      </c>
      <c r="AQ46">
        <v>46120</v>
      </c>
      <c r="AR46">
        <v>1652</v>
      </c>
      <c r="AS46">
        <v>1504</v>
      </c>
      <c r="AT46">
        <v>148</v>
      </c>
      <c r="AU46">
        <v>192</v>
      </c>
      <c r="AV46">
        <v>112197</v>
      </c>
      <c r="AW46">
        <v>2184</v>
      </c>
      <c r="AX46">
        <v>30777</v>
      </c>
      <c r="AY46">
        <v>27</v>
      </c>
      <c r="AZ46">
        <v>54890</v>
      </c>
      <c r="BA46">
        <v>0.64600000000000002</v>
      </c>
      <c r="BB46">
        <v>0.9</v>
      </c>
    </row>
    <row r="47" spans="1:54" x14ac:dyDescent="0.3">
      <c r="A47" s="6">
        <v>7</v>
      </c>
      <c r="B47" s="16">
        <v>9</v>
      </c>
      <c r="C47" s="7" t="str">
        <f t="shared" si="1"/>
        <v>7_9</v>
      </c>
      <c r="D47" s="8" t="s">
        <v>159</v>
      </c>
      <c r="E47" s="19">
        <v>0</v>
      </c>
      <c r="F47" s="19">
        <v>0</v>
      </c>
      <c r="G47" s="19">
        <v>2</v>
      </c>
      <c r="H47" t="s">
        <v>44</v>
      </c>
      <c r="I47" t="s">
        <v>186</v>
      </c>
      <c r="J47">
        <v>1</v>
      </c>
      <c r="K47">
        <v>1</v>
      </c>
      <c r="L47">
        <v>0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4</v>
      </c>
      <c r="AB47">
        <v>0</v>
      </c>
      <c r="AC47">
        <v>2</v>
      </c>
      <c r="AD47">
        <v>6</v>
      </c>
      <c r="AE47">
        <v>3.3333333330000001</v>
      </c>
      <c r="AF47">
        <v>0</v>
      </c>
      <c r="AG47">
        <v>2</v>
      </c>
      <c r="AH47">
        <v>1.7777777779999999</v>
      </c>
      <c r="AI47" t="s">
        <v>86</v>
      </c>
      <c r="AJ47" s="9">
        <v>8</v>
      </c>
      <c r="AK47">
        <v>14649</v>
      </c>
      <c r="AL47" t="s">
        <v>200</v>
      </c>
      <c r="AM47" t="s">
        <v>213</v>
      </c>
      <c r="AN47" t="s">
        <v>107</v>
      </c>
      <c r="AO47" t="s">
        <v>214</v>
      </c>
      <c r="AP47" t="s">
        <v>109</v>
      </c>
      <c r="AQ47">
        <v>51220</v>
      </c>
      <c r="AR47">
        <v>1642</v>
      </c>
      <c r="AS47">
        <v>1411</v>
      </c>
      <c r="AT47">
        <v>232</v>
      </c>
      <c r="AU47">
        <v>290</v>
      </c>
      <c r="AV47">
        <v>108124</v>
      </c>
      <c r="AW47">
        <v>2180</v>
      </c>
      <c r="AX47">
        <v>26538</v>
      </c>
      <c r="AY47">
        <v>25</v>
      </c>
      <c r="AZ47">
        <v>54890</v>
      </c>
      <c r="BA47">
        <v>0.64600000000000002</v>
      </c>
      <c r="BB47">
        <v>0.9</v>
      </c>
    </row>
    <row r="48" spans="1:54" x14ac:dyDescent="0.3">
      <c r="A48" s="6">
        <v>7</v>
      </c>
      <c r="B48" s="16">
        <v>10</v>
      </c>
      <c r="C48" s="7" t="str">
        <f t="shared" si="1"/>
        <v>7_10</v>
      </c>
      <c r="D48" s="8" t="s">
        <v>160</v>
      </c>
      <c r="E48" s="19">
        <v>0</v>
      </c>
      <c r="F48" s="19">
        <v>0</v>
      </c>
      <c r="G48" s="19">
        <v>1</v>
      </c>
      <c r="H48" t="s">
        <v>43</v>
      </c>
      <c r="I48" t="s">
        <v>182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1</v>
      </c>
      <c r="AB48">
        <v>1</v>
      </c>
      <c r="AC48">
        <v>2</v>
      </c>
      <c r="AD48">
        <v>4</v>
      </c>
      <c r="AE48">
        <v>0.83333333300000001</v>
      </c>
      <c r="AF48">
        <v>1</v>
      </c>
      <c r="AG48">
        <v>2</v>
      </c>
      <c r="AH48">
        <v>1.2777777779999999</v>
      </c>
      <c r="AI48" t="s">
        <v>86</v>
      </c>
      <c r="AJ48" s="9">
        <v>9</v>
      </c>
      <c r="AK48">
        <v>14628</v>
      </c>
      <c r="AL48" t="s">
        <v>200</v>
      </c>
      <c r="AM48" t="s">
        <v>215</v>
      </c>
      <c r="AN48" t="s">
        <v>107</v>
      </c>
      <c r="AO48" t="s">
        <v>216</v>
      </c>
      <c r="AP48" t="s">
        <v>109</v>
      </c>
      <c r="AQ48">
        <v>55100</v>
      </c>
      <c r="AR48">
        <v>1810</v>
      </c>
      <c r="AS48">
        <v>1563</v>
      </c>
      <c r="AT48">
        <v>247</v>
      </c>
      <c r="AU48">
        <v>323</v>
      </c>
      <c r="AV48">
        <v>163461</v>
      </c>
      <c r="AW48">
        <v>2175</v>
      </c>
      <c r="AX48">
        <v>33311</v>
      </c>
      <c r="AY48">
        <v>20</v>
      </c>
      <c r="AZ48">
        <v>54890</v>
      </c>
      <c r="BA48">
        <v>0.64600000000000002</v>
      </c>
      <c r="BB48">
        <v>0.9</v>
      </c>
    </row>
    <row r="49" spans="1:54" x14ac:dyDescent="0.3">
      <c r="A49" s="6">
        <v>7</v>
      </c>
      <c r="B49" s="16">
        <v>11</v>
      </c>
      <c r="C49" s="7" t="str">
        <f t="shared" si="1"/>
        <v>7_11</v>
      </c>
      <c r="D49" s="8" t="s">
        <v>161</v>
      </c>
      <c r="E49" s="19">
        <v>0</v>
      </c>
      <c r="F49" s="19">
        <v>1</v>
      </c>
      <c r="G49" s="19">
        <v>1</v>
      </c>
      <c r="H49" t="s">
        <v>42</v>
      </c>
      <c r="I49" t="s">
        <v>182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1</v>
      </c>
      <c r="AB49">
        <v>1</v>
      </c>
      <c r="AC49">
        <v>2</v>
      </c>
      <c r="AD49">
        <v>4</v>
      </c>
      <c r="AE49">
        <v>0.83333333300000001</v>
      </c>
      <c r="AF49">
        <v>1</v>
      </c>
      <c r="AG49">
        <v>2</v>
      </c>
      <c r="AH49">
        <v>1.2777777779999999</v>
      </c>
      <c r="AI49" t="s">
        <v>86</v>
      </c>
      <c r="AJ49" s="9">
        <v>10</v>
      </c>
      <c r="AK49">
        <v>14664</v>
      </c>
      <c r="AL49" t="s">
        <v>200</v>
      </c>
      <c r="AM49" t="s">
        <v>203</v>
      </c>
      <c r="AN49" t="s">
        <v>107</v>
      </c>
      <c r="AO49" t="s">
        <v>204</v>
      </c>
      <c r="AP49" t="s">
        <v>109</v>
      </c>
      <c r="AQ49">
        <v>46120</v>
      </c>
      <c r="AR49">
        <v>1652</v>
      </c>
      <c r="AS49">
        <v>1504</v>
      </c>
      <c r="AT49">
        <v>148</v>
      </c>
      <c r="AU49">
        <v>192</v>
      </c>
      <c r="AV49">
        <v>112197</v>
      </c>
      <c r="AW49">
        <v>2184</v>
      </c>
      <c r="AX49">
        <v>30777</v>
      </c>
      <c r="AY49">
        <v>27</v>
      </c>
      <c r="AZ49">
        <v>54890</v>
      </c>
      <c r="BA49">
        <v>0.64600000000000002</v>
      </c>
      <c r="BB49">
        <v>0.9</v>
      </c>
    </row>
    <row r="50" spans="1:54" s="5" customFormat="1" x14ac:dyDescent="0.3">
      <c r="A50" s="11">
        <v>7</v>
      </c>
      <c r="B50" s="18">
        <v>12</v>
      </c>
      <c r="C50" s="15" t="str">
        <f t="shared" si="1"/>
        <v>7_12</v>
      </c>
      <c r="D50" s="12" t="s">
        <v>162</v>
      </c>
      <c r="E50" s="21">
        <v>0</v>
      </c>
      <c r="F50" s="21">
        <v>0</v>
      </c>
      <c r="G50" s="21">
        <v>0</v>
      </c>
      <c r="H50" s="5" t="s">
        <v>86</v>
      </c>
      <c r="I50" s="5" t="s">
        <v>86</v>
      </c>
      <c r="J50" s="5" t="s">
        <v>86</v>
      </c>
      <c r="K50" s="5" t="s">
        <v>86</v>
      </c>
      <c r="L50" s="5" t="s">
        <v>86</v>
      </c>
      <c r="M50" s="5" t="s">
        <v>86</v>
      </c>
      <c r="N50" s="5" t="s">
        <v>86</v>
      </c>
      <c r="O50" s="5" t="s">
        <v>86</v>
      </c>
      <c r="P50" s="5" t="s">
        <v>86</v>
      </c>
      <c r="Q50" s="5" t="s">
        <v>86</v>
      </c>
      <c r="R50" s="5" t="s">
        <v>86</v>
      </c>
      <c r="S50" s="5" t="s">
        <v>86</v>
      </c>
      <c r="T50" s="5" t="s">
        <v>86</v>
      </c>
      <c r="U50" s="5" t="s">
        <v>86</v>
      </c>
      <c r="V50" s="5" t="s">
        <v>86</v>
      </c>
      <c r="W50" s="5" t="s">
        <v>86</v>
      </c>
      <c r="X50" s="5" t="s">
        <v>86</v>
      </c>
      <c r="Y50" s="5" t="s">
        <v>86</v>
      </c>
      <c r="Z50" s="5" t="s">
        <v>86</v>
      </c>
      <c r="AA50" s="5" t="s">
        <v>86</v>
      </c>
      <c r="AB50" s="5" t="s">
        <v>86</v>
      </c>
      <c r="AC50" s="5" t="s">
        <v>86</v>
      </c>
      <c r="AD50" s="5" t="s">
        <v>86</v>
      </c>
      <c r="AE50" s="5" t="s">
        <v>86</v>
      </c>
      <c r="AF50" s="5" t="s">
        <v>86</v>
      </c>
      <c r="AG50" s="5" t="s">
        <v>86</v>
      </c>
      <c r="AH50" s="5" t="s">
        <v>86</v>
      </c>
      <c r="AI50" s="5" t="s">
        <v>86</v>
      </c>
      <c r="AJ50" s="23">
        <v>11</v>
      </c>
      <c r="AK50" s="5">
        <v>14623</v>
      </c>
      <c r="AL50" s="5" t="s">
        <v>200</v>
      </c>
      <c r="AM50" s="5" t="s">
        <v>217</v>
      </c>
      <c r="AN50" s="5" t="s">
        <v>107</v>
      </c>
      <c r="AO50" s="5" t="s">
        <v>218</v>
      </c>
      <c r="AP50" s="5" t="s">
        <v>109</v>
      </c>
      <c r="AQ50" s="5">
        <v>50500</v>
      </c>
      <c r="AR50" s="5">
        <v>1332</v>
      </c>
      <c r="AS50" s="5">
        <v>1124</v>
      </c>
      <c r="AT50" s="5">
        <v>207</v>
      </c>
      <c r="AU50" s="5">
        <v>255</v>
      </c>
      <c r="AV50" s="5">
        <v>109166</v>
      </c>
      <c r="AW50" s="5">
        <v>2172</v>
      </c>
      <c r="AX50" s="5">
        <v>23839</v>
      </c>
      <c r="AY50" s="5">
        <v>22</v>
      </c>
      <c r="AZ50" s="5">
        <v>54890</v>
      </c>
      <c r="BA50" s="5">
        <v>0.64600000000000002</v>
      </c>
      <c r="BB50" s="5">
        <v>0.9</v>
      </c>
    </row>
    <row r="51" spans="1:54" s="29" customFormat="1" x14ac:dyDescent="0.3">
      <c r="A51" s="24">
        <v>7</v>
      </c>
      <c r="B51" s="30">
        <v>13</v>
      </c>
      <c r="C51" s="26" t="str">
        <f t="shared" si="1"/>
        <v>7_13</v>
      </c>
      <c r="D51" s="25" t="s">
        <v>163</v>
      </c>
      <c r="E51" s="31">
        <v>0</v>
      </c>
      <c r="F51" s="31">
        <v>0</v>
      </c>
      <c r="G51" s="31">
        <v>2</v>
      </c>
      <c r="H51" s="29" t="s">
        <v>44</v>
      </c>
      <c r="I51" s="29" t="s">
        <v>184</v>
      </c>
      <c r="J51" s="29">
        <v>1</v>
      </c>
      <c r="K51" s="29">
        <v>1</v>
      </c>
      <c r="L51" s="29">
        <v>1</v>
      </c>
      <c r="M51" s="29">
        <v>1</v>
      </c>
      <c r="N51" s="29">
        <v>0</v>
      </c>
      <c r="O51" s="29">
        <v>1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1</v>
      </c>
      <c r="Z51" s="29">
        <v>1</v>
      </c>
      <c r="AA51" s="29">
        <v>4</v>
      </c>
      <c r="AB51" s="29">
        <v>0</v>
      </c>
      <c r="AC51" s="29">
        <v>2</v>
      </c>
      <c r="AD51" s="29">
        <v>6</v>
      </c>
      <c r="AE51" s="29">
        <v>3.3333333330000001</v>
      </c>
      <c r="AF51" s="29">
        <v>0</v>
      </c>
      <c r="AG51" s="29">
        <v>2</v>
      </c>
      <c r="AH51" s="29">
        <v>1.7777777779999999</v>
      </c>
      <c r="AI51" s="29" t="s">
        <v>86</v>
      </c>
      <c r="AJ51" s="28">
        <v>12</v>
      </c>
      <c r="AK51" s="29">
        <v>1106</v>
      </c>
      <c r="AL51" s="29" t="s">
        <v>200</v>
      </c>
      <c r="AM51" s="29" t="s">
        <v>219</v>
      </c>
      <c r="AN51" s="29" t="s">
        <v>107</v>
      </c>
      <c r="AO51" s="29" t="s">
        <v>220</v>
      </c>
      <c r="AP51" s="29" t="s">
        <v>138</v>
      </c>
      <c r="AQ51" s="29" t="s">
        <v>86</v>
      </c>
      <c r="AR51" s="29">
        <v>272</v>
      </c>
      <c r="AS51" s="29">
        <v>265</v>
      </c>
      <c r="AT51" s="29">
        <v>7</v>
      </c>
      <c r="AU51" s="29">
        <v>19</v>
      </c>
      <c r="AV51" s="29">
        <v>311989</v>
      </c>
      <c r="AW51" s="29">
        <v>149</v>
      </c>
      <c r="AX51" s="29">
        <v>130603</v>
      </c>
      <c r="AY51" s="29">
        <v>42</v>
      </c>
      <c r="AZ51" s="29">
        <v>54890</v>
      </c>
      <c r="BA51" s="29">
        <v>0.64600000000000002</v>
      </c>
      <c r="BB51" s="29">
        <v>0.9</v>
      </c>
    </row>
    <row r="52" spans="1:54" s="5" customFormat="1" x14ac:dyDescent="0.3">
      <c r="A52" s="11">
        <v>7</v>
      </c>
      <c r="B52" s="18">
        <v>14</v>
      </c>
      <c r="C52" s="15" t="str">
        <f t="shared" si="1"/>
        <v>7_14</v>
      </c>
      <c r="D52" s="12" t="s">
        <v>164</v>
      </c>
      <c r="E52" s="21">
        <v>0</v>
      </c>
      <c r="F52" s="21">
        <v>1</v>
      </c>
      <c r="G52" s="21">
        <v>0</v>
      </c>
      <c r="H52" s="5" t="s">
        <v>86</v>
      </c>
      <c r="I52" s="5" t="s">
        <v>86</v>
      </c>
      <c r="J52" s="5" t="s">
        <v>86</v>
      </c>
      <c r="K52" s="5" t="s">
        <v>86</v>
      </c>
      <c r="L52" s="5" t="s">
        <v>86</v>
      </c>
      <c r="M52" s="5" t="s">
        <v>86</v>
      </c>
      <c r="N52" s="5" t="s">
        <v>86</v>
      </c>
      <c r="O52" s="5" t="s">
        <v>86</v>
      </c>
      <c r="P52" s="5" t="s">
        <v>86</v>
      </c>
      <c r="Q52" s="5" t="s">
        <v>86</v>
      </c>
      <c r="R52" s="5" t="s">
        <v>86</v>
      </c>
      <c r="S52" s="5" t="s">
        <v>86</v>
      </c>
      <c r="T52" s="5" t="s">
        <v>86</v>
      </c>
      <c r="U52" s="5" t="s">
        <v>86</v>
      </c>
      <c r="V52" s="5" t="s">
        <v>86</v>
      </c>
      <c r="W52" s="5" t="s">
        <v>86</v>
      </c>
      <c r="X52" s="5" t="s">
        <v>86</v>
      </c>
      <c r="Y52" s="5" t="s">
        <v>86</v>
      </c>
      <c r="Z52" s="5" t="s">
        <v>86</v>
      </c>
      <c r="AA52" s="5" t="s">
        <v>86</v>
      </c>
      <c r="AB52" s="5" t="s">
        <v>86</v>
      </c>
      <c r="AC52" s="5" t="s">
        <v>86</v>
      </c>
      <c r="AD52" s="5" t="s">
        <v>86</v>
      </c>
      <c r="AE52" s="5" t="s">
        <v>86</v>
      </c>
      <c r="AF52" s="5" t="s">
        <v>86</v>
      </c>
      <c r="AG52" s="5" t="s">
        <v>86</v>
      </c>
      <c r="AH52" s="5" t="s">
        <v>86</v>
      </c>
      <c r="AI52" s="5" t="s">
        <v>86</v>
      </c>
      <c r="AJ52" s="22">
        <v>13</v>
      </c>
      <c r="AK52" s="5">
        <v>14640</v>
      </c>
      <c r="AL52" s="5" t="s">
        <v>200</v>
      </c>
      <c r="AM52" s="5" t="s">
        <v>221</v>
      </c>
      <c r="AN52" s="5" t="s">
        <v>107</v>
      </c>
      <c r="AO52" s="5" t="s">
        <v>222</v>
      </c>
      <c r="AP52" s="5" t="s">
        <v>109</v>
      </c>
      <c r="AQ52" s="5">
        <v>58780</v>
      </c>
      <c r="AR52" s="5">
        <v>1176</v>
      </c>
      <c r="AS52" s="5">
        <v>992</v>
      </c>
      <c r="AT52" s="5">
        <v>185</v>
      </c>
      <c r="AU52" s="5">
        <v>251</v>
      </c>
      <c r="AV52" s="5">
        <v>159871</v>
      </c>
      <c r="AW52" s="5">
        <v>2178</v>
      </c>
      <c r="AX52" s="5">
        <v>26164</v>
      </c>
      <c r="AY52" s="5">
        <v>16</v>
      </c>
      <c r="AZ52" s="5">
        <v>54890</v>
      </c>
      <c r="BA52" s="5">
        <v>0.64600000000000002</v>
      </c>
      <c r="BB52" s="5">
        <v>0.9</v>
      </c>
    </row>
    <row r="53" spans="1:54" s="29" customFormat="1" x14ac:dyDescent="0.3">
      <c r="A53" s="24">
        <v>7</v>
      </c>
      <c r="B53" s="30">
        <v>15</v>
      </c>
      <c r="C53" s="26" t="str">
        <f t="shared" si="1"/>
        <v>7_15</v>
      </c>
      <c r="D53" s="25" t="s">
        <v>165</v>
      </c>
      <c r="E53" s="31">
        <v>1</v>
      </c>
      <c r="F53" s="31">
        <v>0</v>
      </c>
      <c r="G53" s="31">
        <v>2</v>
      </c>
      <c r="H53" s="29" t="s">
        <v>44</v>
      </c>
      <c r="I53" s="29" t="s">
        <v>184</v>
      </c>
      <c r="J53" s="29">
        <v>3</v>
      </c>
      <c r="K53" s="29">
        <v>1</v>
      </c>
      <c r="L53" s="29">
        <v>1</v>
      </c>
      <c r="M53" s="29">
        <v>1</v>
      </c>
      <c r="N53" s="29">
        <v>1</v>
      </c>
      <c r="O53" s="29">
        <v>1</v>
      </c>
      <c r="P53" s="29">
        <v>1</v>
      </c>
      <c r="Q53" s="29">
        <v>0</v>
      </c>
      <c r="R53" s="29">
        <v>0</v>
      </c>
      <c r="S53" s="29">
        <v>1</v>
      </c>
      <c r="T53" s="29">
        <v>0</v>
      </c>
      <c r="U53" s="29">
        <v>0</v>
      </c>
      <c r="V53" s="29">
        <v>1</v>
      </c>
      <c r="W53" s="29">
        <v>1</v>
      </c>
      <c r="X53" s="29">
        <v>0</v>
      </c>
      <c r="Y53" s="29">
        <v>1</v>
      </c>
      <c r="Z53" s="29">
        <v>1</v>
      </c>
      <c r="AA53" s="29">
        <v>6</v>
      </c>
      <c r="AB53" s="29">
        <v>1</v>
      </c>
      <c r="AC53" s="29">
        <v>4</v>
      </c>
      <c r="AD53" s="29">
        <v>11</v>
      </c>
      <c r="AE53" s="29">
        <v>5</v>
      </c>
      <c r="AF53" s="29">
        <v>1</v>
      </c>
      <c r="AG53" s="29">
        <v>4</v>
      </c>
      <c r="AH53" s="29">
        <v>3.3333333330000001</v>
      </c>
      <c r="AI53" s="29" t="s">
        <v>86</v>
      </c>
      <c r="AJ53" s="28">
        <v>14</v>
      </c>
      <c r="AK53" s="29">
        <v>1110</v>
      </c>
      <c r="AL53" s="29" t="s">
        <v>200</v>
      </c>
      <c r="AM53" s="29" t="s">
        <v>223</v>
      </c>
      <c r="AN53" s="29" t="s">
        <v>107</v>
      </c>
      <c r="AO53" s="29" t="s">
        <v>224</v>
      </c>
      <c r="AP53" s="29" t="s">
        <v>138</v>
      </c>
      <c r="AQ53" s="29" t="s">
        <v>86</v>
      </c>
      <c r="AR53" s="29">
        <v>0</v>
      </c>
      <c r="AS53" s="29">
        <v>0</v>
      </c>
      <c r="AT53" s="29">
        <v>0</v>
      </c>
      <c r="AU53" s="29">
        <v>0</v>
      </c>
      <c r="AV53" s="29">
        <v>208781</v>
      </c>
      <c r="AW53" s="29">
        <v>152</v>
      </c>
      <c r="AX53" s="29">
        <v>37947</v>
      </c>
      <c r="AY53" s="29">
        <v>18</v>
      </c>
      <c r="AZ53" s="29">
        <v>54890</v>
      </c>
      <c r="BA53" s="29">
        <v>0.64600000000000002</v>
      </c>
      <c r="BB53" s="29">
        <v>0.9</v>
      </c>
    </row>
    <row r="54" spans="1:54" x14ac:dyDescent="0.3">
      <c r="A54" s="6">
        <v>7</v>
      </c>
      <c r="B54" s="16">
        <v>16</v>
      </c>
      <c r="C54" s="7" t="str">
        <f t="shared" si="1"/>
        <v>7_16</v>
      </c>
      <c r="D54" s="8" t="s">
        <v>166</v>
      </c>
      <c r="E54" s="19">
        <v>0</v>
      </c>
      <c r="F54" s="19">
        <v>0</v>
      </c>
      <c r="G54" s="19">
        <v>1</v>
      </c>
      <c r="H54" t="s">
        <v>43</v>
      </c>
      <c r="I54" t="s">
        <v>186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1</v>
      </c>
      <c r="AB54">
        <v>1</v>
      </c>
      <c r="AC54">
        <v>2</v>
      </c>
      <c r="AD54">
        <v>4</v>
      </c>
      <c r="AE54">
        <v>0.83333333300000001</v>
      </c>
      <c r="AF54">
        <v>1</v>
      </c>
      <c r="AG54">
        <v>2</v>
      </c>
      <c r="AH54">
        <v>1.2777777779999999</v>
      </c>
      <c r="AI54" t="s">
        <v>86</v>
      </c>
      <c r="AJ54" s="2">
        <v>15</v>
      </c>
      <c r="AK54">
        <v>14654</v>
      </c>
      <c r="AL54" t="s">
        <v>200</v>
      </c>
      <c r="AM54" t="s">
        <v>225</v>
      </c>
      <c r="AN54" t="s">
        <v>107</v>
      </c>
      <c r="AO54" t="s">
        <v>226</v>
      </c>
      <c r="AP54" t="s">
        <v>109</v>
      </c>
      <c r="AQ54">
        <v>66680</v>
      </c>
      <c r="AR54">
        <v>1753</v>
      </c>
      <c r="AS54">
        <v>1581</v>
      </c>
      <c r="AT54">
        <v>172</v>
      </c>
      <c r="AU54">
        <v>236</v>
      </c>
      <c r="AV54">
        <v>42730</v>
      </c>
      <c r="AW54">
        <v>2181</v>
      </c>
      <c r="AX54">
        <v>5444</v>
      </c>
      <c r="AY54">
        <v>13</v>
      </c>
      <c r="AZ54">
        <v>54890</v>
      </c>
      <c r="BA54">
        <v>0.64600000000000002</v>
      </c>
      <c r="BB54">
        <v>0.9</v>
      </c>
    </row>
    <row r="55" spans="1:54" x14ac:dyDescent="0.3">
      <c r="A55" s="6">
        <v>7</v>
      </c>
      <c r="B55" s="16">
        <v>17</v>
      </c>
      <c r="C55" s="7" t="str">
        <f t="shared" si="1"/>
        <v>7_17</v>
      </c>
      <c r="D55" s="8" t="s">
        <v>167</v>
      </c>
      <c r="E55" s="19">
        <v>1</v>
      </c>
      <c r="F55" s="19">
        <v>0</v>
      </c>
      <c r="G55" s="19">
        <v>2</v>
      </c>
      <c r="H55" t="s">
        <v>44</v>
      </c>
      <c r="I55" t="s">
        <v>182</v>
      </c>
      <c r="J55">
        <v>1</v>
      </c>
      <c r="K55">
        <v>1</v>
      </c>
      <c r="L55">
        <v>1</v>
      </c>
      <c r="M55">
        <v>0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1</v>
      </c>
      <c r="AA55">
        <v>4</v>
      </c>
      <c r="AB55">
        <v>0</v>
      </c>
      <c r="AC55">
        <v>5</v>
      </c>
      <c r="AD55">
        <v>9</v>
      </c>
      <c r="AE55">
        <v>3.3333333330000001</v>
      </c>
      <c r="AF55">
        <v>0</v>
      </c>
      <c r="AG55">
        <v>5</v>
      </c>
      <c r="AH55">
        <v>2.7777777779999999</v>
      </c>
      <c r="AI55" t="s">
        <v>187</v>
      </c>
      <c r="AJ55" s="9">
        <v>16</v>
      </c>
      <c r="AK55">
        <v>14663</v>
      </c>
      <c r="AL55" t="s">
        <v>200</v>
      </c>
      <c r="AM55" t="s">
        <v>227</v>
      </c>
      <c r="AN55" t="s">
        <v>107</v>
      </c>
      <c r="AO55" t="s">
        <v>228</v>
      </c>
      <c r="AP55" t="s">
        <v>109</v>
      </c>
      <c r="AQ55">
        <v>68670</v>
      </c>
      <c r="AR55">
        <v>1795</v>
      </c>
      <c r="AS55">
        <v>1571</v>
      </c>
      <c r="AT55">
        <v>224</v>
      </c>
      <c r="AU55">
        <v>306</v>
      </c>
      <c r="AV55">
        <v>113308</v>
      </c>
      <c r="AW55">
        <v>2183</v>
      </c>
      <c r="AX55">
        <v>32100</v>
      </c>
      <c r="AY55">
        <v>28</v>
      </c>
      <c r="AZ55">
        <v>54890</v>
      </c>
      <c r="BA55">
        <v>0.64600000000000002</v>
      </c>
      <c r="BB55">
        <v>0.9</v>
      </c>
    </row>
    <row r="56" spans="1:54" x14ac:dyDescent="0.3">
      <c r="A56" s="6">
        <v>7</v>
      </c>
      <c r="B56" s="16">
        <v>18</v>
      </c>
      <c r="C56" s="7" t="str">
        <f t="shared" si="1"/>
        <v>7_18</v>
      </c>
      <c r="D56" s="8" t="s">
        <v>168</v>
      </c>
      <c r="E56" s="19">
        <v>1</v>
      </c>
      <c r="F56" s="19">
        <v>0</v>
      </c>
      <c r="G56" s="19">
        <v>2</v>
      </c>
      <c r="H56" t="s">
        <v>44</v>
      </c>
      <c r="I56" t="s">
        <v>188</v>
      </c>
      <c r="J56">
        <v>2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1</v>
      </c>
      <c r="AA56">
        <v>5</v>
      </c>
      <c r="AB56">
        <v>2</v>
      </c>
      <c r="AC56">
        <v>3</v>
      </c>
      <c r="AD56">
        <v>10</v>
      </c>
      <c r="AE56">
        <v>4.1666666670000003</v>
      </c>
      <c r="AF56">
        <v>2</v>
      </c>
      <c r="AG56">
        <v>3</v>
      </c>
      <c r="AH56">
        <v>3.0555555559999998</v>
      </c>
      <c r="AI56" t="s">
        <v>86</v>
      </c>
      <c r="AJ56" s="9">
        <v>17</v>
      </c>
      <c r="AK56">
        <v>14663</v>
      </c>
      <c r="AL56" t="s">
        <v>200</v>
      </c>
      <c r="AM56" t="s">
        <v>227</v>
      </c>
      <c r="AN56" t="s">
        <v>107</v>
      </c>
      <c r="AO56" t="s">
        <v>228</v>
      </c>
      <c r="AP56" t="s">
        <v>109</v>
      </c>
      <c r="AQ56">
        <v>68670</v>
      </c>
      <c r="AR56">
        <v>1795</v>
      </c>
      <c r="AS56">
        <v>1571</v>
      </c>
      <c r="AT56">
        <v>224</v>
      </c>
      <c r="AU56">
        <v>306</v>
      </c>
      <c r="AV56">
        <v>113308</v>
      </c>
      <c r="AW56">
        <v>2183</v>
      </c>
      <c r="AX56">
        <v>32100</v>
      </c>
      <c r="AY56">
        <v>28</v>
      </c>
      <c r="AZ56">
        <v>54890</v>
      </c>
      <c r="BA56">
        <v>0.64600000000000002</v>
      </c>
      <c r="BB56">
        <v>0.9</v>
      </c>
    </row>
    <row r="57" spans="1:54" x14ac:dyDescent="0.3">
      <c r="A57" s="6">
        <v>7</v>
      </c>
      <c r="B57" s="16">
        <v>19</v>
      </c>
      <c r="C57" s="7" t="str">
        <f t="shared" si="1"/>
        <v>7_19</v>
      </c>
      <c r="D57" s="8" t="s">
        <v>169</v>
      </c>
      <c r="E57" s="19">
        <v>0</v>
      </c>
      <c r="F57" s="19">
        <v>1</v>
      </c>
      <c r="G57" s="19">
        <v>1</v>
      </c>
      <c r="H57" t="s">
        <v>42</v>
      </c>
      <c r="I57" t="s">
        <v>189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1</v>
      </c>
      <c r="AB57">
        <v>1</v>
      </c>
      <c r="AC57">
        <v>2</v>
      </c>
      <c r="AD57">
        <v>4</v>
      </c>
      <c r="AE57">
        <v>0.83333333300000001</v>
      </c>
      <c r="AF57">
        <v>1</v>
      </c>
      <c r="AG57">
        <v>2</v>
      </c>
      <c r="AH57">
        <v>1.2777777779999999</v>
      </c>
      <c r="AI57" t="s">
        <v>86</v>
      </c>
      <c r="AJ57" s="9">
        <v>18</v>
      </c>
      <c r="AK57">
        <v>14628</v>
      </c>
      <c r="AL57" t="s">
        <v>200</v>
      </c>
      <c r="AM57" t="s">
        <v>215</v>
      </c>
      <c r="AN57" t="s">
        <v>107</v>
      </c>
      <c r="AO57" t="s">
        <v>216</v>
      </c>
      <c r="AP57" t="s">
        <v>109</v>
      </c>
      <c r="AQ57">
        <v>55100</v>
      </c>
      <c r="AR57">
        <v>1810</v>
      </c>
      <c r="AS57">
        <v>1563</v>
      </c>
      <c r="AT57">
        <v>247</v>
      </c>
      <c r="AU57">
        <v>323</v>
      </c>
      <c r="AV57">
        <v>163461</v>
      </c>
      <c r="AW57">
        <v>2175</v>
      </c>
      <c r="AX57">
        <v>33311</v>
      </c>
      <c r="AY57">
        <v>20</v>
      </c>
      <c r="AZ57">
        <v>54890</v>
      </c>
      <c r="BA57">
        <v>0.64600000000000002</v>
      </c>
      <c r="BB57">
        <v>0.9</v>
      </c>
    </row>
    <row r="58" spans="1:54" x14ac:dyDescent="0.3">
      <c r="A58" s="6">
        <v>7</v>
      </c>
      <c r="B58" s="16">
        <v>20</v>
      </c>
      <c r="C58" s="7" t="str">
        <f t="shared" si="1"/>
        <v>7_20</v>
      </c>
      <c r="D58" s="8" t="s">
        <v>170</v>
      </c>
      <c r="E58" s="19">
        <v>0</v>
      </c>
      <c r="F58" s="19">
        <v>0</v>
      </c>
      <c r="G58" s="19">
        <v>1</v>
      </c>
      <c r="H58" t="s">
        <v>42</v>
      </c>
      <c r="I58" t="s">
        <v>186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1</v>
      </c>
      <c r="AA58">
        <v>1</v>
      </c>
      <c r="AB58">
        <v>1</v>
      </c>
      <c r="AC58">
        <v>3</v>
      </c>
      <c r="AD58">
        <v>5</v>
      </c>
      <c r="AE58">
        <v>0.83333333300000001</v>
      </c>
      <c r="AF58">
        <v>1</v>
      </c>
      <c r="AG58">
        <v>3</v>
      </c>
      <c r="AH58">
        <v>1.611111111</v>
      </c>
      <c r="AI58" t="s">
        <v>86</v>
      </c>
      <c r="AJ58" s="2">
        <v>19</v>
      </c>
      <c r="AK58">
        <v>14633</v>
      </c>
      <c r="AL58" t="s">
        <v>200</v>
      </c>
      <c r="AM58" t="s">
        <v>211</v>
      </c>
      <c r="AN58" t="s">
        <v>107</v>
      </c>
      <c r="AO58" t="s">
        <v>212</v>
      </c>
      <c r="AP58" t="s">
        <v>109</v>
      </c>
      <c r="AQ58">
        <v>56170</v>
      </c>
      <c r="AR58">
        <v>1104</v>
      </c>
      <c r="AS58">
        <v>962</v>
      </c>
      <c r="AT58">
        <v>142</v>
      </c>
      <c r="AU58">
        <v>198</v>
      </c>
      <c r="AV58">
        <v>207934</v>
      </c>
      <c r="AW58">
        <v>2176</v>
      </c>
      <c r="AX58">
        <v>72529</v>
      </c>
      <c r="AY58">
        <v>35</v>
      </c>
      <c r="AZ58">
        <v>54890</v>
      </c>
      <c r="BA58">
        <v>0.64600000000000002</v>
      </c>
      <c r="BB58">
        <v>0.9</v>
      </c>
    </row>
    <row r="59" spans="1:54" x14ac:dyDescent="0.3">
      <c r="A59" s="6">
        <v>7</v>
      </c>
      <c r="B59" s="16">
        <v>21</v>
      </c>
      <c r="C59" s="7" t="str">
        <f t="shared" si="1"/>
        <v>7_21</v>
      </c>
      <c r="D59" s="8" t="s">
        <v>171</v>
      </c>
      <c r="E59" s="19">
        <v>1</v>
      </c>
      <c r="F59" s="19">
        <v>0</v>
      </c>
      <c r="G59" s="19">
        <v>2</v>
      </c>
      <c r="H59" t="s">
        <v>43</v>
      </c>
      <c r="I59" t="s">
        <v>186</v>
      </c>
      <c r="J59">
        <v>3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1</v>
      </c>
      <c r="AA59">
        <v>6</v>
      </c>
      <c r="AB59">
        <v>1</v>
      </c>
      <c r="AC59">
        <v>2</v>
      </c>
      <c r="AD59">
        <v>9</v>
      </c>
      <c r="AE59">
        <v>5</v>
      </c>
      <c r="AF59">
        <v>1</v>
      </c>
      <c r="AG59">
        <v>2</v>
      </c>
      <c r="AH59">
        <v>2.6666666669999999</v>
      </c>
      <c r="AI59" t="s">
        <v>86</v>
      </c>
      <c r="AJ59" s="9">
        <v>20</v>
      </c>
      <c r="AK59">
        <v>14663</v>
      </c>
      <c r="AL59" t="s">
        <v>200</v>
      </c>
      <c r="AM59" t="s">
        <v>227</v>
      </c>
      <c r="AN59" t="s">
        <v>107</v>
      </c>
      <c r="AO59" t="s">
        <v>228</v>
      </c>
      <c r="AP59" t="s">
        <v>109</v>
      </c>
      <c r="AQ59">
        <v>68670</v>
      </c>
      <c r="AR59">
        <v>1795</v>
      </c>
      <c r="AS59">
        <v>1571</v>
      </c>
      <c r="AT59">
        <v>224</v>
      </c>
      <c r="AU59">
        <v>306</v>
      </c>
      <c r="AV59">
        <v>113308</v>
      </c>
      <c r="AW59">
        <v>2183</v>
      </c>
      <c r="AX59">
        <v>32100</v>
      </c>
      <c r="AY59">
        <v>28</v>
      </c>
      <c r="AZ59">
        <v>54890</v>
      </c>
      <c r="BA59">
        <v>0.64600000000000002</v>
      </c>
      <c r="BB59">
        <v>0.9</v>
      </c>
    </row>
    <row r="60" spans="1:54" x14ac:dyDescent="0.3">
      <c r="A60" s="6">
        <v>7</v>
      </c>
      <c r="B60" s="16">
        <v>22</v>
      </c>
      <c r="C60" s="7" t="str">
        <f t="shared" si="1"/>
        <v>7_22</v>
      </c>
      <c r="D60" s="8" t="s">
        <v>172</v>
      </c>
      <c r="E60" s="19">
        <v>0</v>
      </c>
      <c r="F60" s="19">
        <v>0</v>
      </c>
      <c r="G60" s="19">
        <v>1</v>
      </c>
      <c r="H60" t="s">
        <v>42</v>
      </c>
      <c r="I60" t="s">
        <v>186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1</v>
      </c>
      <c r="AB60">
        <v>1</v>
      </c>
      <c r="AC60">
        <v>2</v>
      </c>
      <c r="AD60">
        <v>4</v>
      </c>
      <c r="AE60">
        <v>0.83333333300000001</v>
      </c>
      <c r="AF60">
        <v>1</v>
      </c>
      <c r="AG60">
        <v>2</v>
      </c>
      <c r="AH60">
        <v>1.2777777779999999</v>
      </c>
      <c r="AI60" t="s">
        <v>190</v>
      </c>
      <c r="AJ60" s="9">
        <v>21</v>
      </c>
      <c r="AK60">
        <v>14688</v>
      </c>
      <c r="AL60" t="s">
        <v>200</v>
      </c>
      <c r="AM60" t="s">
        <v>207</v>
      </c>
      <c r="AN60" t="s">
        <v>107</v>
      </c>
      <c r="AO60" t="s">
        <v>208</v>
      </c>
      <c r="AP60" t="s">
        <v>109</v>
      </c>
      <c r="AQ60">
        <v>59570</v>
      </c>
      <c r="AR60">
        <v>1540</v>
      </c>
      <c r="AS60">
        <v>1357</v>
      </c>
      <c r="AT60">
        <v>182</v>
      </c>
      <c r="AU60">
        <v>225</v>
      </c>
      <c r="AV60">
        <v>59934</v>
      </c>
      <c r="AW60">
        <v>2192</v>
      </c>
      <c r="AX60">
        <v>7081</v>
      </c>
      <c r="AY60">
        <v>12</v>
      </c>
      <c r="AZ60">
        <v>54890</v>
      </c>
      <c r="BA60">
        <v>0.64600000000000002</v>
      </c>
      <c r="BB60">
        <v>0.9</v>
      </c>
    </row>
    <row r="61" spans="1:54" x14ac:dyDescent="0.3">
      <c r="A61" s="6">
        <v>7</v>
      </c>
      <c r="B61" s="16">
        <v>23</v>
      </c>
      <c r="C61" s="7" t="str">
        <f t="shared" si="1"/>
        <v>7_23</v>
      </c>
      <c r="D61" s="8" t="s">
        <v>173</v>
      </c>
      <c r="E61" s="19">
        <v>0</v>
      </c>
      <c r="F61" s="19">
        <v>1</v>
      </c>
      <c r="G61" s="19">
        <v>1</v>
      </c>
      <c r="H61" t="s">
        <v>191</v>
      </c>
      <c r="I61" t="s">
        <v>192</v>
      </c>
      <c r="J61">
        <v>2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1</v>
      </c>
      <c r="AA61">
        <v>2</v>
      </c>
      <c r="AB61">
        <v>1</v>
      </c>
      <c r="AC61">
        <v>3</v>
      </c>
      <c r="AD61">
        <v>6</v>
      </c>
      <c r="AE61">
        <v>1.6666666670000001</v>
      </c>
      <c r="AF61">
        <v>1</v>
      </c>
      <c r="AG61">
        <v>3</v>
      </c>
      <c r="AH61">
        <v>1.888888889</v>
      </c>
      <c r="AI61" t="s">
        <v>86</v>
      </c>
      <c r="AJ61" s="9">
        <v>22</v>
      </c>
      <c r="AK61">
        <v>14686</v>
      </c>
      <c r="AL61" t="s">
        <v>200</v>
      </c>
      <c r="AM61" t="s">
        <v>229</v>
      </c>
      <c r="AN61" t="s">
        <v>107</v>
      </c>
      <c r="AO61" t="s">
        <v>230</v>
      </c>
      <c r="AP61" t="s">
        <v>109</v>
      </c>
      <c r="AQ61">
        <v>77180</v>
      </c>
      <c r="AR61">
        <v>1785</v>
      </c>
      <c r="AS61">
        <v>1507</v>
      </c>
      <c r="AT61">
        <v>279</v>
      </c>
      <c r="AU61">
        <v>386</v>
      </c>
      <c r="AV61">
        <v>109694</v>
      </c>
      <c r="AW61">
        <v>2190</v>
      </c>
      <c r="AX61">
        <v>41984</v>
      </c>
      <c r="AY61">
        <v>38</v>
      </c>
      <c r="AZ61">
        <v>54890</v>
      </c>
      <c r="BA61">
        <v>0.64600000000000002</v>
      </c>
      <c r="BB61">
        <v>0.9</v>
      </c>
    </row>
    <row r="62" spans="1:54" x14ac:dyDescent="0.3">
      <c r="A62" s="6">
        <v>7</v>
      </c>
      <c r="B62" s="16">
        <v>24</v>
      </c>
      <c r="C62" s="7" t="str">
        <f t="shared" si="1"/>
        <v>7_24</v>
      </c>
      <c r="D62" s="8" t="s">
        <v>174</v>
      </c>
      <c r="E62" s="19">
        <v>0</v>
      </c>
      <c r="F62" s="19">
        <v>0</v>
      </c>
      <c r="G62" s="19">
        <v>1</v>
      </c>
      <c r="H62" t="s">
        <v>42</v>
      </c>
      <c r="I62" t="s">
        <v>186</v>
      </c>
      <c r="J62">
        <v>1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1</v>
      </c>
      <c r="Z62">
        <v>1</v>
      </c>
      <c r="AA62">
        <v>2</v>
      </c>
      <c r="AB62">
        <v>1</v>
      </c>
      <c r="AC62">
        <v>3</v>
      </c>
      <c r="AD62">
        <v>6</v>
      </c>
      <c r="AE62">
        <v>1.6666666670000001</v>
      </c>
      <c r="AF62">
        <v>1</v>
      </c>
      <c r="AG62">
        <v>3</v>
      </c>
      <c r="AH62">
        <v>1.888888889</v>
      </c>
      <c r="AI62" t="s">
        <v>86</v>
      </c>
      <c r="AJ62" s="2">
        <v>23</v>
      </c>
      <c r="AK62">
        <v>14640</v>
      </c>
      <c r="AL62" t="s">
        <v>200</v>
      </c>
      <c r="AM62" t="s">
        <v>221</v>
      </c>
      <c r="AN62" t="s">
        <v>107</v>
      </c>
      <c r="AO62" t="s">
        <v>222</v>
      </c>
      <c r="AP62" t="s">
        <v>109</v>
      </c>
      <c r="AQ62">
        <v>58780</v>
      </c>
      <c r="AR62">
        <v>1176</v>
      </c>
      <c r="AS62">
        <v>992</v>
      </c>
      <c r="AT62">
        <v>185</v>
      </c>
      <c r="AU62">
        <v>251</v>
      </c>
      <c r="AV62">
        <v>159871</v>
      </c>
      <c r="AW62">
        <v>2178</v>
      </c>
      <c r="AX62">
        <v>26164</v>
      </c>
      <c r="AY62">
        <v>16</v>
      </c>
      <c r="AZ62">
        <v>54890</v>
      </c>
      <c r="BA62">
        <v>0.64600000000000002</v>
      </c>
      <c r="BB62">
        <v>0.9</v>
      </c>
    </row>
    <row r="63" spans="1:54" x14ac:dyDescent="0.3">
      <c r="A63" s="6">
        <v>7</v>
      </c>
      <c r="B63" s="16">
        <v>25</v>
      </c>
      <c r="C63" s="7" t="str">
        <f t="shared" si="1"/>
        <v>7_25</v>
      </c>
      <c r="D63" s="8" t="s">
        <v>175</v>
      </c>
      <c r="E63" s="19">
        <v>1</v>
      </c>
      <c r="F63" s="19">
        <v>0</v>
      </c>
      <c r="G63" s="19">
        <v>2</v>
      </c>
      <c r="H63" t="s">
        <v>40</v>
      </c>
      <c r="I63" t="s">
        <v>184</v>
      </c>
      <c r="J63">
        <v>3</v>
      </c>
      <c r="K63">
        <v>1</v>
      </c>
      <c r="L63">
        <v>1</v>
      </c>
      <c r="M63">
        <v>1</v>
      </c>
      <c r="N63">
        <v>0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5</v>
      </c>
      <c r="AB63">
        <v>1</v>
      </c>
      <c r="AC63">
        <v>1</v>
      </c>
      <c r="AD63">
        <v>7</v>
      </c>
      <c r="AE63">
        <v>4.1666666670000003</v>
      </c>
      <c r="AF63">
        <v>1</v>
      </c>
      <c r="AG63">
        <v>1</v>
      </c>
      <c r="AH63">
        <v>2.0555555559999998</v>
      </c>
      <c r="AI63" t="s">
        <v>193</v>
      </c>
      <c r="AJ63" s="9">
        <v>24</v>
      </c>
      <c r="AK63">
        <v>14690</v>
      </c>
      <c r="AL63" t="s">
        <v>200</v>
      </c>
      <c r="AM63" t="s">
        <v>231</v>
      </c>
      <c r="AN63" t="s">
        <v>107</v>
      </c>
      <c r="AO63" t="s">
        <v>232</v>
      </c>
      <c r="AP63" t="s">
        <v>109</v>
      </c>
      <c r="AQ63">
        <v>45870</v>
      </c>
      <c r="AR63">
        <v>2708</v>
      </c>
      <c r="AS63">
        <v>2264</v>
      </c>
      <c r="AT63">
        <v>444</v>
      </c>
      <c r="AU63">
        <v>574</v>
      </c>
      <c r="AV63">
        <v>100288</v>
      </c>
      <c r="AW63">
        <v>2194</v>
      </c>
      <c r="AX63">
        <v>9777</v>
      </c>
      <c r="AY63">
        <v>10</v>
      </c>
      <c r="AZ63">
        <v>54890</v>
      </c>
      <c r="BA63">
        <v>0.64600000000000002</v>
      </c>
      <c r="BB63">
        <v>0.9</v>
      </c>
    </row>
    <row r="64" spans="1:54" x14ac:dyDescent="0.3">
      <c r="A64" s="6">
        <v>7</v>
      </c>
      <c r="B64" s="16">
        <v>26</v>
      </c>
      <c r="C64" s="7" t="str">
        <f t="shared" si="1"/>
        <v>7_26</v>
      </c>
      <c r="D64" s="8" t="s">
        <v>176</v>
      </c>
      <c r="E64" s="19">
        <v>1</v>
      </c>
      <c r="F64" s="19">
        <v>0</v>
      </c>
      <c r="G64" s="19">
        <v>2</v>
      </c>
      <c r="H64" t="s">
        <v>44</v>
      </c>
      <c r="I64" t="s">
        <v>194</v>
      </c>
      <c r="J64">
        <v>2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6</v>
      </c>
      <c r="AB64">
        <v>1</v>
      </c>
      <c r="AC64">
        <v>1</v>
      </c>
      <c r="AD64">
        <v>8</v>
      </c>
      <c r="AE64">
        <v>5</v>
      </c>
      <c r="AF64">
        <v>1</v>
      </c>
      <c r="AG64">
        <v>1</v>
      </c>
      <c r="AH64">
        <v>2.3333333330000001</v>
      </c>
      <c r="AI64" t="s">
        <v>86</v>
      </c>
      <c r="AJ64" s="9">
        <v>25</v>
      </c>
      <c r="AK64">
        <v>14687</v>
      </c>
      <c r="AL64" t="s">
        <v>200</v>
      </c>
      <c r="AM64" t="s">
        <v>233</v>
      </c>
      <c r="AN64" t="s">
        <v>107</v>
      </c>
      <c r="AO64" t="s">
        <v>234</v>
      </c>
      <c r="AP64" t="s">
        <v>109</v>
      </c>
      <c r="AQ64">
        <v>74290</v>
      </c>
      <c r="AR64">
        <v>1734</v>
      </c>
      <c r="AS64">
        <v>1498</v>
      </c>
      <c r="AT64">
        <v>237</v>
      </c>
      <c r="AU64">
        <v>337</v>
      </c>
      <c r="AV64">
        <v>107901</v>
      </c>
      <c r="AW64">
        <v>2191</v>
      </c>
      <c r="AX64">
        <v>39473</v>
      </c>
      <c r="AY64">
        <v>37</v>
      </c>
      <c r="AZ64">
        <v>54890</v>
      </c>
      <c r="BA64">
        <v>0.64600000000000002</v>
      </c>
      <c r="BB64">
        <v>0.9</v>
      </c>
    </row>
    <row r="65" spans="1:54" x14ac:dyDescent="0.3">
      <c r="A65" s="6">
        <v>7</v>
      </c>
      <c r="B65" s="16">
        <v>27</v>
      </c>
      <c r="C65" s="7" t="str">
        <f t="shared" si="1"/>
        <v>7_27</v>
      </c>
      <c r="D65" s="8" t="s">
        <v>177</v>
      </c>
      <c r="E65" s="19">
        <v>1</v>
      </c>
      <c r="F65" s="19">
        <v>1</v>
      </c>
      <c r="G65" s="19">
        <v>2</v>
      </c>
      <c r="H65" t="s">
        <v>44</v>
      </c>
      <c r="I65" t="s">
        <v>194</v>
      </c>
      <c r="J65">
        <v>3</v>
      </c>
      <c r="K65">
        <v>1</v>
      </c>
      <c r="L65">
        <v>1</v>
      </c>
      <c r="M65">
        <v>1</v>
      </c>
      <c r="N65">
        <v>1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1</v>
      </c>
      <c r="AA65">
        <v>5</v>
      </c>
      <c r="AB65">
        <v>1</v>
      </c>
      <c r="AC65">
        <v>3</v>
      </c>
      <c r="AD65">
        <v>9</v>
      </c>
      <c r="AE65">
        <v>4.1666666670000003</v>
      </c>
      <c r="AF65">
        <v>1</v>
      </c>
      <c r="AG65">
        <v>3</v>
      </c>
      <c r="AH65">
        <v>2.7222222220000001</v>
      </c>
      <c r="AI65" t="s">
        <v>86</v>
      </c>
      <c r="AJ65" s="9">
        <v>26</v>
      </c>
      <c r="AK65">
        <v>14687</v>
      </c>
      <c r="AL65" t="s">
        <v>200</v>
      </c>
      <c r="AM65" t="s">
        <v>233</v>
      </c>
      <c r="AN65" t="s">
        <v>107</v>
      </c>
      <c r="AO65" t="s">
        <v>234</v>
      </c>
      <c r="AP65" t="s">
        <v>109</v>
      </c>
      <c r="AQ65">
        <v>74290</v>
      </c>
      <c r="AR65">
        <v>1734</v>
      </c>
      <c r="AS65">
        <v>1498</v>
      </c>
      <c r="AT65">
        <v>237</v>
      </c>
      <c r="AU65">
        <v>337</v>
      </c>
      <c r="AV65">
        <v>107901</v>
      </c>
      <c r="AW65">
        <v>2191</v>
      </c>
      <c r="AX65">
        <v>39473</v>
      </c>
      <c r="AY65">
        <v>37</v>
      </c>
      <c r="AZ65">
        <v>54890</v>
      </c>
      <c r="BA65">
        <v>0.64600000000000002</v>
      </c>
      <c r="BB65">
        <v>0.9</v>
      </c>
    </row>
    <row r="66" spans="1:54" s="5" customFormat="1" x14ac:dyDescent="0.3">
      <c r="A66" s="11">
        <v>7</v>
      </c>
      <c r="B66" s="18">
        <v>28</v>
      </c>
      <c r="C66" s="15" t="str">
        <f t="shared" si="1"/>
        <v>7_28</v>
      </c>
      <c r="D66" s="12" t="s">
        <v>178</v>
      </c>
      <c r="E66" s="21">
        <v>0</v>
      </c>
      <c r="F66" s="21">
        <v>0</v>
      </c>
      <c r="G66" s="21">
        <v>0</v>
      </c>
      <c r="H66" s="5" t="s">
        <v>86</v>
      </c>
      <c r="I66" s="5" t="s">
        <v>86</v>
      </c>
      <c r="J66" s="5" t="s">
        <v>86</v>
      </c>
      <c r="K66" s="5" t="s">
        <v>86</v>
      </c>
      <c r="L66" s="5" t="s">
        <v>86</v>
      </c>
      <c r="M66" s="5" t="s">
        <v>86</v>
      </c>
      <c r="N66" s="5" t="s">
        <v>86</v>
      </c>
      <c r="O66" s="5" t="s">
        <v>86</v>
      </c>
      <c r="P66" s="5" t="s">
        <v>86</v>
      </c>
      <c r="Q66" s="5" t="s">
        <v>86</v>
      </c>
      <c r="R66" s="5" t="s">
        <v>86</v>
      </c>
      <c r="S66" s="5" t="s">
        <v>86</v>
      </c>
      <c r="T66" s="5" t="s">
        <v>86</v>
      </c>
      <c r="U66" s="5" t="s">
        <v>86</v>
      </c>
      <c r="V66" s="5" t="s">
        <v>86</v>
      </c>
      <c r="W66" s="5" t="s">
        <v>86</v>
      </c>
      <c r="X66" s="5" t="s">
        <v>86</v>
      </c>
      <c r="Y66" s="5" t="s">
        <v>86</v>
      </c>
      <c r="Z66" s="5" t="s">
        <v>86</v>
      </c>
      <c r="AA66" s="5" t="s">
        <v>86</v>
      </c>
      <c r="AB66" s="5" t="s">
        <v>86</v>
      </c>
      <c r="AC66" s="5" t="s">
        <v>86</v>
      </c>
      <c r="AD66" s="5" t="s">
        <v>86</v>
      </c>
      <c r="AE66" s="5" t="s">
        <v>86</v>
      </c>
      <c r="AF66" s="5" t="s">
        <v>86</v>
      </c>
      <c r="AG66" s="5" t="s">
        <v>86</v>
      </c>
      <c r="AH66" s="5" t="s">
        <v>86</v>
      </c>
      <c r="AI66" s="5" t="s">
        <v>195</v>
      </c>
      <c r="AJ66" s="23">
        <v>27</v>
      </c>
      <c r="AK66" s="5">
        <v>14568</v>
      </c>
      <c r="AL66" s="5" t="s">
        <v>235</v>
      </c>
      <c r="AM66" s="5" t="s">
        <v>236</v>
      </c>
      <c r="AN66" s="5" t="s">
        <v>107</v>
      </c>
      <c r="AO66" s="5" t="s">
        <v>237</v>
      </c>
      <c r="AP66" s="5" t="s">
        <v>109</v>
      </c>
      <c r="AQ66" s="5">
        <v>39660</v>
      </c>
      <c r="AR66" s="5">
        <v>2249</v>
      </c>
      <c r="AS66" s="5">
        <v>1902</v>
      </c>
      <c r="AT66" s="5">
        <v>347</v>
      </c>
      <c r="AU66" s="5">
        <v>478</v>
      </c>
      <c r="AV66" s="5">
        <v>80930</v>
      </c>
      <c r="AW66" s="5">
        <v>2164</v>
      </c>
      <c r="AX66" s="5">
        <v>6875</v>
      </c>
      <c r="AY66" s="5">
        <v>8</v>
      </c>
      <c r="AZ66" s="5">
        <v>47878</v>
      </c>
      <c r="BA66" s="5">
        <v>0.67</v>
      </c>
      <c r="BB66" s="5">
        <v>1.1000000000000001</v>
      </c>
    </row>
    <row r="67" spans="1:54" x14ac:dyDescent="0.3">
      <c r="A67" s="6">
        <v>7</v>
      </c>
      <c r="B67" s="16">
        <v>29</v>
      </c>
      <c r="C67" s="7" t="str">
        <f t="shared" si="1"/>
        <v>7_29</v>
      </c>
      <c r="D67" s="8" t="s">
        <v>179</v>
      </c>
      <c r="E67" s="19">
        <v>0</v>
      </c>
      <c r="F67" s="19">
        <v>0</v>
      </c>
      <c r="G67" s="19">
        <v>1</v>
      </c>
      <c r="H67" t="s">
        <v>43</v>
      </c>
      <c r="I67" t="s">
        <v>51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1</v>
      </c>
      <c r="AA67">
        <v>1</v>
      </c>
      <c r="AB67">
        <v>1</v>
      </c>
      <c r="AC67">
        <v>2</v>
      </c>
      <c r="AD67">
        <v>4</v>
      </c>
      <c r="AE67">
        <v>0.83333333300000001</v>
      </c>
      <c r="AF67">
        <v>1</v>
      </c>
      <c r="AG67">
        <v>2</v>
      </c>
      <c r="AH67">
        <v>1.2777777779999999</v>
      </c>
      <c r="AI67" t="s">
        <v>196</v>
      </c>
      <c r="AJ67" s="9">
        <v>28</v>
      </c>
      <c r="AK67">
        <v>14689</v>
      </c>
      <c r="AL67" t="s">
        <v>200</v>
      </c>
      <c r="AM67" t="s">
        <v>238</v>
      </c>
      <c r="AN67" t="s">
        <v>107</v>
      </c>
      <c r="AO67" t="s">
        <v>239</v>
      </c>
      <c r="AP67" t="s">
        <v>109</v>
      </c>
      <c r="AQ67">
        <v>52430</v>
      </c>
      <c r="AR67">
        <v>1540</v>
      </c>
      <c r="AS67">
        <v>1297</v>
      </c>
      <c r="AT67">
        <v>243</v>
      </c>
      <c r="AU67">
        <v>327</v>
      </c>
      <c r="AV67">
        <v>125573</v>
      </c>
      <c r="AW67">
        <v>2193</v>
      </c>
      <c r="AX67">
        <v>30652</v>
      </c>
      <c r="AY67">
        <v>24</v>
      </c>
      <c r="AZ67">
        <v>54890</v>
      </c>
      <c r="BA67">
        <v>0.64600000000000002</v>
      </c>
      <c r="BB67">
        <v>0.9</v>
      </c>
    </row>
    <row r="68" spans="1:54" s="5" customFormat="1" x14ac:dyDescent="0.3">
      <c r="A68" s="11">
        <v>7</v>
      </c>
      <c r="B68" s="18">
        <v>30</v>
      </c>
      <c r="C68" s="15" t="str">
        <f t="shared" si="1"/>
        <v>7_30</v>
      </c>
      <c r="D68" s="12" t="s">
        <v>180</v>
      </c>
      <c r="E68" s="21">
        <v>0</v>
      </c>
      <c r="F68" s="21">
        <v>0</v>
      </c>
      <c r="G68" s="21">
        <v>0</v>
      </c>
      <c r="H68" s="5" t="s">
        <v>86</v>
      </c>
      <c r="I68" s="5" t="s">
        <v>86</v>
      </c>
      <c r="J68" s="5" t="s">
        <v>86</v>
      </c>
      <c r="K68" s="5" t="s">
        <v>86</v>
      </c>
      <c r="L68" s="5" t="s">
        <v>86</v>
      </c>
      <c r="M68" s="5" t="s">
        <v>86</v>
      </c>
      <c r="N68" s="5" t="s">
        <v>86</v>
      </c>
      <c r="O68" s="5" t="s">
        <v>86</v>
      </c>
      <c r="P68" s="5" t="s">
        <v>86</v>
      </c>
      <c r="Q68" s="5" t="s">
        <v>86</v>
      </c>
      <c r="R68" s="5" t="s">
        <v>86</v>
      </c>
      <c r="S68" s="5" t="s">
        <v>86</v>
      </c>
      <c r="T68" s="5" t="s">
        <v>86</v>
      </c>
      <c r="U68" s="5" t="s">
        <v>86</v>
      </c>
      <c r="V68" s="5" t="s">
        <v>86</v>
      </c>
      <c r="W68" s="5" t="s">
        <v>86</v>
      </c>
      <c r="X68" s="5" t="s">
        <v>86</v>
      </c>
      <c r="Y68" s="5" t="s">
        <v>86</v>
      </c>
      <c r="Z68" s="5" t="s">
        <v>86</v>
      </c>
      <c r="AA68" s="5" t="s">
        <v>86</v>
      </c>
      <c r="AB68" s="5" t="s">
        <v>86</v>
      </c>
      <c r="AC68" s="5" t="s">
        <v>86</v>
      </c>
      <c r="AD68" s="5" t="s">
        <v>86</v>
      </c>
      <c r="AE68" s="5" t="s">
        <v>86</v>
      </c>
      <c r="AF68" s="5" t="s">
        <v>86</v>
      </c>
      <c r="AG68" s="5" t="s">
        <v>86</v>
      </c>
      <c r="AH68" s="5" t="s">
        <v>86</v>
      </c>
      <c r="AI68" s="5" t="s">
        <v>86</v>
      </c>
      <c r="AJ68" s="22">
        <v>29</v>
      </c>
      <c r="AK68" s="5">
        <v>14628</v>
      </c>
      <c r="AL68" s="5" t="s">
        <v>200</v>
      </c>
      <c r="AM68" s="5" t="s">
        <v>215</v>
      </c>
      <c r="AN68" s="5" t="s">
        <v>107</v>
      </c>
      <c r="AO68" s="5" t="s">
        <v>216</v>
      </c>
      <c r="AP68" s="5" t="s">
        <v>109</v>
      </c>
      <c r="AQ68" s="5">
        <v>55100</v>
      </c>
      <c r="AR68" s="5">
        <v>1810</v>
      </c>
      <c r="AS68" s="5">
        <v>1563</v>
      </c>
      <c r="AT68" s="5">
        <v>247</v>
      </c>
      <c r="AU68" s="5">
        <v>323</v>
      </c>
      <c r="AV68" s="5">
        <v>163461</v>
      </c>
      <c r="AW68" s="5">
        <v>2175</v>
      </c>
      <c r="AX68" s="5">
        <v>33311</v>
      </c>
      <c r="AY68" s="5">
        <v>20</v>
      </c>
      <c r="AZ68" s="5">
        <v>54890</v>
      </c>
      <c r="BA68" s="5">
        <v>0.64600000000000002</v>
      </c>
      <c r="BB68" s="5">
        <v>0.9</v>
      </c>
    </row>
    <row r="69" spans="1:54" x14ac:dyDescent="0.3">
      <c r="A69" t="s">
        <v>263</v>
      </c>
      <c r="B69" s="16">
        <v>1</v>
      </c>
      <c r="C69" s="7" t="str">
        <f t="shared" si="1"/>
        <v>NEU_1</v>
      </c>
      <c r="D69" s="8" t="s">
        <v>240</v>
      </c>
      <c r="E69" s="19">
        <v>0</v>
      </c>
      <c r="F69" s="19">
        <v>0</v>
      </c>
      <c r="G69" s="19">
        <v>1</v>
      </c>
      <c r="H69" t="s">
        <v>42</v>
      </c>
      <c r="I69" t="s">
        <v>264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1</v>
      </c>
      <c r="AA69">
        <v>1</v>
      </c>
      <c r="AB69">
        <v>1</v>
      </c>
      <c r="AC69">
        <v>2</v>
      </c>
      <c r="AD69">
        <v>4</v>
      </c>
      <c r="AE69">
        <v>0.83333333300000001</v>
      </c>
      <c r="AF69">
        <v>1</v>
      </c>
      <c r="AG69">
        <v>2</v>
      </c>
      <c r="AH69">
        <v>1.2777777779999999</v>
      </c>
      <c r="AI69" t="s">
        <v>86</v>
      </c>
      <c r="AJ69" s="9">
        <v>0</v>
      </c>
      <c r="AK69">
        <v>4235</v>
      </c>
      <c r="AL69" t="s">
        <v>271</v>
      </c>
      <c r="AM69" t="s">
        <v>272</v>
      </c>
      <c r="AN69" t="s">
        <v>273</v>
      </c>
      <c r="AO69" t="s">
        <v>274</v>
      </c>
      <c r="AP69" t="s">
        <v>109</v>
      </c>
      <c r="AQ69">
        <v>62880</v>
      </c>
      <c r="AR69">
        <v>2134</v>
      </c>
      <c r="AS69">
        <v>1925</v>
      </c>
      <c r="AT69">
        <v>209</v>
      </c>
      <c r="AU69">
        <v>297</v>
      </c>
      <c r="AV69">
        <v>118342</v>
      </c>
      <c r="AW69">
        <v>410</v>
      </c>
      <c r="AX69">
        <v>52740</v>
      </c>
      <c r="AY69">
        <v>45</v>
      </c>
      <c r="AZ69">
        <v>56445</v>
      </c>
      <c r="BA69">
        <v>0.53400000000000003</v>
      </c>
      <c r="BB69">
        <v>1.3</v>
      </c>
    </row>
    <row r="70" spans="1:54" x14ac:dyDescent="0.3">
      <c r="A70" t="s">
        <v>263</v>
      </c>
      <c r="B70" s="16">
        <v>2</v>
      </c>
      <c r="C70" s="7" t="str">
        <f t="shared" ref="C70:C112" si="2">A70&amp;"_"&amp;B70</f>
        <v>NEU_2</v>
      </c>
      <c r="D70" s="8" t="s">
        <v>241</v>
      </c>
      <c r="E70" s="19">
        <v>1</v>
      </c>
      <c r="F70" s="19">
        <v>0</v>
      </c>
      <c r="G70" s="19">
        <v>2</v>
      </c>
      <c r="H70" t="s">
        <v>44</v>
      </c>
      <c r="I70" t="s">
        <v>41</v>
      </c>
      <c r="J70">
        <v>3</v>
      </c>
      <c r="K70">
        <v>1</v>
      </c>
      <c r="L70">
        <v>1</v>
      </c>
      <c r="M70">
        <v>1</v>
      </c>
      <c r="N70">
        <v>1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1</v>
      </c>
      <c r="AA70">
        <v>5</v>
      </c>
      <c r="AB70">
        <v>1</v>
      </c>
      <c r="AC70">
        <v>2</v>
      </c>
      <c r="AD70">
        <v>8</v>
      </c>
      <c r="AE70">
        <v>4.1666666670000003</v>
      </c>
      <c r="AF70">
        <v>1</v>
      </c>
      <c r="AG70">
        <v>2</v>
      </c>
      <c r="AH70">
        <v>2.388888889</v>
      </c>
      <c r="AI70" t="s">
        <v>86</v>
      </c>
      <c r="AJ70" s="9">
        <v>1</v>
      </c>
      <c r="AK70">
        <v>10730</v>
      </c>
      <c r="AL70" t="s">
        <v>271</v>
      </c>
      <c r="AM70" t="s">
        <v>275</v>
      </c>
      <c r="AN70" t="s">
        <v>273</v>
      </c>
      <c r="AO70" t="s">
        <v>276</v>
      </c>
      <c r="AP70" t="s">
        <v>109</v>
      </c>
      <c r="AQ70">
        <v>51610</v>
      </c>
      <c r="AR70">
        <v>2109</v>
      </c>
      <c r="AS70">
        <v>1890</v>
      </c>
      <c r="AT70">
        <v>218</v>
      </c>
      <c r="AU70">
        <v>306</v>
      </c>
      <c r="AV70">
        <v>68717</v>
      </c>
      <c r="AW70">
        <v>1576</v>
      </c>
      <c r="AX70">
        <v>8573</v>
      </c>
      <c r="AY70">
        <v>12</v>
      </c>
      <c r="AZ70">
        <v>56445</v>
      </c>
      <c r="BA70">
        <v>0.53400000000000003</v>
      </c>
      <c r="BB70">
        <v>1.3</v>
      </c>
    </row>
    <row r="71" spans="1:54" x14ac:dyDescent="0.3">
      <c r="A71" t="s">
        <v>263</v>
      </c>
      <c r="B71" s="16">
        <v>3</v>
      </c>
      <c r="C71" s="7" t="str">
        <f t="shared" si="2"/>
        <v>NEU_3</v>
      </c>
      <c r="D71" s="8" t="s">
        <v>242</v>
      </c>
      <c r="E71" s="19">
        <v>0</v>
      </c>
      <c r="F71" s="19">
        <v>1</v>
      </c>
      <c r="G71" s="19">
        <v>1</v>
      </c>
      <c r="H71" t="s">
        <v>40</v>
      </c>
      <c r="I71" t="s">
        <v>41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>
        <v>1</v>
      </c>
      <c r="AB71">
        <v>1</v>
      </c>
      <c r="AC71">
        <v>2</v>
      </c>
      <c r="AD71">
        <v>4</v>
      </c>
      <c r="AE71">
        <v>0.83333333300000001</v>
      </c>
      <c r="AF71">
        <v>1</v>
      </c>
      <c r="AG71">
        <v>2</v>
      </c>
      <c r="AH71">
        <v>1.2777777779999999</v>
      </c>
      <c r="AI71" t="s">
        <v>86</v>
      </c>
      <c r="AJ71" s="9">
        <v>2</v>
      </c>
      <c r="AK71">
        <v>11075</v>
      </c>
      <c r="AL71" t="s">
        <v>271</v>
      </c>
      <c r="AM71" t="s">
        <v>277</v>
      </c>
      <c r="AN71" t="s">
        <v>273</v>
      </c>
      <c r="AO71" t="s">
        <v>278</v>
      </c>
      <c r="AP71" t="s">
        <v>109</v>
      </c>
      <c r="AQ71">
        <v>50580</v>
      </c>
      <c r="AR71">
        <v>2061</v>
      </c>
      <c r="AS71">
        <v>1819</v>
      </c>
      <c r="AT71">
        <v>241</v>
      </c>
      <c r="AU71">
        <v>325</v>
      </c>
      <c r="AV71">
        <v>89738</v>
      </c>
      <c r="AW71">
        <v>1653</v>
      </c>
      <c r="AX71">
        <v>7181</v>
      </c>
      <c r="AY71">
        <v>8</v>
      </c>
      <c r="AZ71">
        <v>56445</v>
      </c>
      <c r="BA71">
        <v>0.53400000000000003</v>
      </c>
      <c r="BB71">
        <v>1.3</v>
      </c>
    </row>
    <row r="72" spans="1:54" x14ac:dyDescent="0.3">
      <c r="A72" t="s">
        <v>263</v>
      </c>
      <c r="B72" s="16">
        <v>4</v>
      </c>
      <c r="C72" s="7" t="str">
        <f t="shared" si="2"/>
        <v>NEU_4</v>
      </c>
      <c r="D72" s="8" t="s">
        <v>243</v>
      </c>
      <c r="E72" s="19">
        <v>1</v>
      </c>
      <c r="F72" s="19">
        <v>0</v>
      </c>
      <c r="G72" s="19">
        <v>2</v>
      </c>
      <c r="H72" t="s">
        <v>40</v>
      </c>
      <c r="I72" t="s">
        <v>265</v>
      </c>
      <c r="J72">
        <v>2</v>
      </c>
      <c r="K72">
        <v>1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1</v>
      </c>
      <c r="Y72">
        <v>0</v>
      </c>
      <c r="Z72">
        <v>1</v>
      </c>
      <c r="AA72">
        <v>3</v>
      </c>
      <c r="AB72">
        <v>0</v>
      </c>
      <c r="AC72">
        <v>3</v>
      </c>
      <c r="AD72">
        <v>6</v>
      </c>
      <c r="AE72">
        <v>2.5</v>
      </c>
      <c r="AF72">
        <v>0</v>
      </c>
      <c r="AG72">
        <v>3</v>
      </c>
      <c r="AH72">
        <v>1.8333333329999999</v>
      </c>
      <c r="AI72" t="s">
        <v>86</v>
      </c>
      <c r="AJ72" s="9">
        <v>3</v>
      </c>
      <c r="AK72">
        <v>11247</v>
      </c>
      <c r="AL72" t="s">
        <v>271</v>
      </c>
      <c r="AM72" t="s">
        <v>279</v>
      </c>
      <c r="AN72" t="s">
        <v>273</v>
      </c>
      <c r="AO72" t="s">
        <v>280</v>
      </c>
      <c r="AP72" t="s">
        <v>109</v>
      </c>
      <c r="AQ72">
        <v>51700</v>
      </c>
      <c r="AR72">
        <v>2003</v>
      </c>
      <c r="AS72">
        <v>1806</v>
      </c>
      <c r="AT72">
        <v>197</v>
      </c>
      <c r="AU72">
        <v>288</v>
      </c>
      <c r="AV72">
        <v>109566</v>
      </c>
      <c r="AW72">
        <v>1680</v>
      </c>
      <c r="AX72">
        <v>49806</v>
      </c>
      <c r="AY72">
        <v>45</v>
      </c>
      <c r="AZ72">
        <v>56445</v>
      </c>
      <c r="BA72">
        <v>0.53400000000000003</v>
      </c>
      <c r="BB72">
        <v>1.3</v>
      </c>
    </row>
    <row r="73" spans="1:54" s="5" customFormat="1" x14ac:dyDescent="0.3">
      <c r="A73" s="5" t="s">
        <v>263</v>
      </c>
      <c r="B73" s="18">
        <v>5</v>
      </c>
      <c r="C73" s="15" t="str">
        <f t="shared" si="2"/>
        <v>NEU_5</v>
      </c>
      <c r="D73" s="12" t="s">
        <v>244</v>
      </c>
      <c r="E73" s="21">
        <v>0</v>
      </c>
      <c r="F73" s="21">
        <v>0</v>
      </c>
      <c r="G73" s="21">
        <v>0</v>
      </c>
      <c r="H73" s="5" t="s">
        <v>86</v>
      </c>
      <c r="I73" s="5" t="s">
        <v>86</v>
      </c>
      <c r="J73" s="5" t="s">
        <v>86</v>
      </c>
      <c r="K73" s="5" t="s">
        <v>86</v>
      </c>
      <c r="L73" s="5" t="s">
        <v>86</v>
      </c>
      <c r="M73" s="5" t="s">
        <v>86</v>
      </c>
      <c r="N73" s="5" t="s">
        <v>86</v>
      </c>
      <c r="O73" s="5" t="s">
        <v>86</v>
      </c>
      <c r="P73" s="5" t="s">
        <v>86</v>
      </c>
      <c r="Q73" s="5" t="s">
        <v>86</v>
      </c>
      <c r="R73" s="5" t="s">
        <v>86</v>
      </c>
      <c r="S73" s="5" t="s">
        <v>86</v>
      </c>
      <c r="T73" s="5" t="s">
        <v>86</v>
      </c>
      <c r="U73" s="5" t="s">
        <v>86</v>
      </c>
      <c r="V73" s="5" t="s">
        <v>86</v>
      </c>
      <c r="W73" s="5" t="s">
        <v>86</v>
      </c>
      <c r="X73" s="5" t="s">
        <v>86</v>
      </c>
      <c r="Y73" s="5" t="s">
        <v>86</v>
      </c>
      <c r="Z73" s="5" t="s">
        <v>86</v>
      </c>
      <c r="AA73" s="5" t="s">
        <v>86</v>
      </c>
      <c r="AB73" s="5" t="s">
        <v>86</v>
      </c>
      <c r="AC73" s="5" t="s">
        <v>86</v>
      </c>
      <c r="AD73" s="5" t="s">
        <v>86</v>
      </c>
      <c r="AE73" s="5" t="s">
        <v>86</v>
      </c>
      <c r="AF73" s="5" t="s">
        <v>86</v>
      </c>
      <c r="AG73" s="5" t="s">
        <v>86</v>
      </c>
      <c r="AH73" s="5" t="s">
        <v>86</v>
      </c>
      <c r="AI73" s="5" t="s">
        <v>86</v>
      </c>
      <c r="AJ73" s="23">
        <v>4</v>
      </c>
      <c r="AK73" s="5">
        <v>10730</v>
      </c>
      <c r="AL73" s="5" t="s">
        <v>271</v>
      </c>
      <c r="AM73" s="5" t="s">
        <v>275</v>
      </c>
      <c r="AN73" s="5" t="s">
        <v>273</v>
      </c>
      <c r="AO73" s="5" t="s">
        <v>276</v>
      </c>
      <c r="AP73" s="5" t="s">
        <v>109</v>
      </c>
      <c r="AQ73" s="5">
        <v>51610</v>
      </c>
      <c r="AR73" s="5">
        <v>2109</v>
      </c>
      <c r="AS73" s="5">
        <v>1890</v>
      </c>
      <c r="AT73" s="5">
        <v>218</v>
      </c>
      <c r="AU73" s="5">
        <v>306</v>
      </c>
      <c r="AV73" s="5">
        <v>68717</v>
      </c>
      <c r="AW73" s="5">
        <v>1576</v>
      </c>
      <c r="AX73" s="5">
        <v>8573</v>
      </c>
      <c r="AY73" s="5">
        <v>12</v>
      </c>
      <c r="AZ73" s="5">
        <v>56445</v>
      </c>
      <c r="BA73" s="5">
        <v>0.53400000000000003</v>
      </c>
      <c r="BB73" s="5">
        <v>1.3</v>
      </c>
    </row>
    <row r="74" spans="1:54" x14ac:dyDescent="0.3">
      <c r="A74" t="s">
        <v>263</v>
      </c>
      <c r="B74" s="16">
        <v>6</v>
      </c>
      <c r="C74" s="7" t="str">
        <f t="shared" si="2"/>
        <v>NEU_6</v>
      </c>
      <c r="D74" s="8" t="s">
        <v>245</v>
      </c>
      <c r="E74" s="19">
        <v>1</v>
      </c>
      <c r="F74" s="19">
        <v>0</v>
      </c>
      <c r="G74" s="19">
        <v>2</v>
      </c>
      <c r="H74" t="s">
        <v>44</v>
      </c>
      <c r="I74" t="s">
        <v>41</v>
      </c>
      <c r="J74">
        <v>3</v>
      </c>
      <c r="K74">
        <v>1</v>
      </c>
      <c r="L74">
        <v>1</v>
      </c>
      <c r="M74">
        <v>1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1</v>
      </c>
      <c r="AA74">
        <v>5</v>
      </c>
      <c r="AB74">
        <v>0</v>
      </c>
      <c r="AC74">
        <v>2</v>
      </c>
      <c r="AD74">
        <v>7</v>
      </c>
      <c r="AE74">
        <v>4.1666666670000003</v>
      </c>
      <c r="AF74">
        <v>0</v>
      </c>
      <c r="AG74">
        <v>2</v>
      </c>
      <c r="AH74">
        <v>2.0555555559999998</v>
      </c>
      <c r="AI74" t="s">
        <v>86</v>
      </c>
      <c r="AJ74" s="9">
        <v>5</v>
      </c>
      <c r="AK74">
        <v>6415</v>
      </c>
      <c r="AL74" t="s">
        <v>271</v>
      </c>
      <c r="AM74" t="s">
        <v>281</v>
      </c>
      <c r="AN74" t="s">
        <v>273</v>
      </c>
      <c r="AO74" t="s">
        <v>282</v>
      </c>
      <c r="AP74" t="s">
        <v>109</v>
      </c>
      <c r="AQ74">
        <v>62260</v>
      </c>
      <c r="AR74">
        <v>2522</v>
      </c>
      <c r="AS74">
        <v>2203</v>
      </c>
      <c r="AT74">
        <v>319</v>
      </c>
      <c r="AU74">
        <v>411</v>
      </c>
      <c r="AV74">
        <v>191687</v>
      </c>
      <c r="AW74">
        <v>647</v>
      </c>
      <c r="AX74">
        <v>58842</v>
      </c>
      <c r="AY74">
        <v>31</v>
      </c>
      <c r="AZ74">
        <v>56445</v>
      </c>
      <c r="BA74">
        <v>0.53400000000000003</v>
      </c>
      <c r="BB74">
        <v>1.3</v>
      </c>
    </row>
    <row r="75" spans="1:54" x14ac:dyDescent="0.3">
      <c r="A75" t="s">
        <v>263</v>
      </c>
      <c r="B75" s="16">
        <v>7</v>
      </c>
      <c r="C75" s="7" t="str">
        <f t="shared" si="2"/>
        <v>NEU_7</v>
      </c>
      <c r="D75" s="8" t="s">
        <v>246</v>
      </c>
      <c r="E75" s="19">
        <v>1</v>
      </c>
      <c r="F75" s="19">
        <v>0</v>
      </c>
      <c r="G75" s="19">
        <v>2</v>
      </c>
      <c r="H75" t="s">
        <v>44</v>
      </c>
      <c r="I75" t="s">
        <v>266</v>
      </c>
      <c r="J75">
        <v>3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1</v>
      </c>
      <c r="AA75">
        <v>6</v>
      </c>
      <c r="AB75">
        <v>0</v>
      </c>
      <c r="AC75">
        <v>2</v>
      </c>
      <c r="AD75">
        <v>8</v>
      </c>
      <c r="AE75">
        <v>5</v>
      </c>
      <c r="AF75">
        <v>0</v>
      </c>
      <c r="AG75">
        <v>2</v>
      </c>
      <c r="AH75">
        <v>2.3333333330000001</v>
      </c>
      <c r="AI75" t="s">
        <v>86</v>
      </c>
      <c r="AJ75" s="9">
        <v>6</v>
      </c>
      <c r="AK75">
        <v>11247</v>
      </c>
      <c r="AL75" t="s">
        <v>271</v>
      </c>
      <c r="AM75" t="s">
        <v>279</v>
      </c>
      <c r="AN75" t="s">
        <v>273</v>
      </c>
      <c r="AO75" t="s">
        <v>280</v>
      </c>
      <c r="AP75" t="s">
        <v>109</v>
      </c>
      <c r="AQ75">
        <v>51700</v>
      </c>
      <c r="AR75">
        <v>2003</v>
      </c>
      <c r="AS75">
        <v>1806</v>
      </c>
      <c r="AT75">
        <v>197</v>
      </c>
      <c r="AU75">
        <v>288</v>
      </c>
      <c r="AV75">
        <v>109566</v>
      </c>
      <c r="AW75">
        <v>1680</v>
      </c>
      <c r="AX75">
        <v>49806</v>
      </c>
      <c r="AY75">
        <v>45</v>
      </c>
      <c r="AZ75">
        <v>56445</v>
      </c>
      <c r="BA75">
        <v>0.53400000000000003</v>
      </c>
      <c r="BB75">
        <v>1.3</v>
      </c>
    </row>
    <row r="76" spans="1:54" x14ac:dyDescent="0.3">
      <c r="A76" t="s">
        <v>263</v>
      </c>
      <c r="B76" s="16">
        <v>8</v>
      </c>
      <c r="C76" s="7" t="str">
        <f t="shared" si="2"/>
        <v>NEU_8</v>
      </c>
      <c r="D76" s="8" t="s">
        <v>247</v>
      </c>
      <c r="E76" s="19">
        <v>1</v>
      </c>
      <c r="F76" s="19">
        <v>0</v>
      </c>
      <c r="G76" s="19">
        <v>2</v>
      </c>
      <c r="H76" t="s">
        <v>44</v>
      </c>
      <c r="I76" t="s">
        <v>267</v>
      </c>
      <c r="J76">
        <v>2</v>
      </c>
      <c r="K76">
        <v>1</v>
      </c>
      <c r="L76">
        <v>1</v>
      </c>
      <c r="M76">
        <v>1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</v>
      </c>
      <c r="W76">
        <v>0</v>
      </c>
      <c r="X76">
        <v>1</v>
      </c>
      <c r="Y76">
        <v>0</v>
      </c>
      <c r="Z76">
        <v>1</v>
      </c>
      <c r="AA76">
        <v>5</v>
      </c>
      <c r="AB76">
        <v>1</v>
      </c>
      <c r="AC76">
        <v>3</v>
      </c>
      <c r="AD76">
        <v>9</v>
      </c>
      <c r="AE76">
        <v>4.1666666670000003</v>
      </c>
      <c r="AF76">
        <v>1</v>
      </c>
      <c r="AG76">
        <v>3</v>
      </c>
      <c r="AH76">
        <v>2.7222222220000001</v>
      </c>
      <c r="AI76" t="s">
        <v>86</v>
      </c>
      <c r="AJ76" s="9">
        <v>7</v>
      </c>
      <c r="AK76">
        <v>11692</v>
      </c>
      <c r="AL76" t="s">
        <v>271</v>
      </c>
      <c r="AM76" t="s">
        <v>283</v>
      </c>
      <c r="AN76" t="s">
        <v>273</v>
      </c>
      <c r="AO76" t="s">
        <v>284</v>
      </c>
      <c r="AP76" t="s">
        <v>109</v>
      </c>
      <c r="AQ76">
        <v>49180</v>
      </c>
      <c r="AR76">
        <v>3076</v>
      </c>
      <c r="AS76">
        <v>2783</v>
      </c>
      <c r="AT76">
        <v>293</v>
      </c>
      <c r="AU76">
        <v>490</v>
      </c>
      <c r="AV76">
        <v>219912</v>
      </c>
      <c r="AW76">
        <v>1764</v>
      </c>
      <c r="AX76">
        <v>104324</v>
      </c>
      <c r="AY76">
        <v>47</v>
      </c>
      <c r="AZ76">
        <v>56445</v>
      </c>
      <c r="BA76">
        <v>0.53400000000000003</v>
      </c>
      <c r="BB76">
        <v>1.3</v>
      </c>
    </row>
    <row r="77" spans="1:54" x14ac:dyDescent="0.3">
      <c r="A77" t="s">
        <v>263</v>
      </c>
      <c r="B77" s="16">
        <v>9</v>
      </c>
      <c r="C77" s="7" t="str">
        <f t="shared" si="2"/>
        <v>NEU_9</v>
      </c>
      <c r="D77" s="8" t="s">
        <v>248</v>
      </c>
      <c r="E77" s="19">
        <v>1</v>
      </c>
      <c r="F77" s="19">
        <v>0</v>
      </c>
      <c r="G77" s="19">
        <v>2</v>
      </c>
      <c r="H77" t="s">
        <v>39</v>
      </c>
      <c r="I77" t="s">
        <v>41</v>
      </c>
      <c r="J77">
        <v>2</v>
      </c>
      <c r="K77">
        <v>1</v>
      </c>
      <c r="L77">
        <v>1</v>
      </c>
      <c r="M77">
        <v>1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1</v>
      </c>
      <c r="AA77">
        <v>5</v>
      </c>
      <c r="AB77">
        <v>0</v>
      </c>
      <c r="AC77">
        <v>2</v>
      </c>
      <c r="AD77">
        <v>7</v>
      </c>
      <c r="AE77">
        <v>4.1666666670000003</v>
      </c>
      <c r="AF77">
        <v>0</v>
      </c>
      <c r="AG77">
        <v>2</v>
      </c>
      <c r="AH77">
        <v>2.0555555559999998</v>
      </c>
      <c r="AI77" t="s">
        <v>86</v>
      </c>
      <c r="AJ77" s="9">
        <v>8</v>
      </c>
      <c r="AK77">
        <v>11021</v>
      </c>
      <c r="AL77" t="s">
        <v>271</v>
      </c>
      <c r="AM77" t="s">
        <v>285</v>
      </c>
      <c r="AN77" t="s">
        <v>273</v>
      </c>
      <c r="AO77" t="s">
        <v>286</v>
      </c>
      <c r="AP77" t="s">
        <v>109</v>
      </c>
      <c r="AQ77">
        <v>58030</v>
      </c>
      <c r="AR77">
        <v>2598</v>
      </c>
      <c r="AS77">
        <v>2319</v>
      </c>
      <c r="AT77">
        <v>279</v>
      </c>
      <c r="AU77">
        <v>385</v>
      </c>
      <c r="AV77">
        <v>129656</v>
      </c>
      <c r="AW77">
        <v>1636</v>
      </c>
      <c r="AX77">
        <v>25692</v>
      </c>
      <c r="AY77">
        <v>20</v>
      </c>
      <c r="AZ77">
        <v>56445</v>
      </c>
      <c r="BA77">
        <v>0.53400000000000003</v>
      </c>
      <c r="BB77">
        <v>1.3</v>
      </c>
    </row>
    <row r="78" spans="1:54" x14ac:dyDescent="0.3">
      <c r="A78" t="s">
        <v>263</v>
      </c>
      <c r="B78" s="16">
        <v>10</v>
      </c>
      <c r="C78" s="7" t="str">
        <f t="shared" si="2"/>
        <v>NEU_10</v>
      </c>
      <c r="D78" s="8" t="s">
        <v>249</v>
      </c>
      <c r="E78" s="19">
        <v>1</v>
      </c>
      <c r="F78" s="19">
        <v>0</v>
      </c>
      <c r="G78" s="19">
        <v>2</v>
      </c>
      <c r="H78" t="s">
        <v>40</v>
      </c>
      <c r="I78" t="s">
        <v>264</v>
      </c>
      <c r="J78">
        <v>2</v>
      </c>
      <c r="K78">
        <v>1</v>
      </c>
      <c r="L78">
        <v>1</v>
      </c>
      <c r="M78">
        <v>0</v>
      </c>
      <c r="N78">
        <v>0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4</v>
      </c>
      <c r="AB78">
        <v>0</v>
      </c>
      <c r="AC78">
        <v>1</v>
      </c>
      <c r="AD78">
        <v>5</v>
      </c>
      <c r="AE78">
        <v>3.3333333330000001</v>
      </c>
      <c r="AF78">
        <v>0</v>
      </c>
      <c r="AG78">
        <v>1</v>
      </c>
      <c r="AH78">
        <v>1.4444444439999999</v>
      </c>
      <c r="AI78" t="s">
        <v>86</v>
      </c>
      <c r="AJ78" s="9">
        <v>9</v>
      </c>
      <c r="AK78">
        <v>11247</v>
      </c>
      <c r="AL78" t="s">
        <v>271</v>
      </c>
      <c r="AM78" t="s">
        <v>279</v>
      </c>
      <c r="AN78" t="s">
        <v>273</v>
      </c>
      <c r="AO78" t="s">
        <v>280</v>
      </c>
      <c r="AP78" t="s">
        <v>109</v>
      </c>
      <c r="AQ78">
        <v>51700</v>
      </c>
      <c r="AR78">
        <v>2003</v>
      </c>
      <c r="AS78">
        <v>1806</v>
      </c>
      <c r="AT78">
        <v>197</v>
      </c>
      <c r="AU78">
        <v>288</v>
      </c>
      <c r="AV78">
        <v>109566</v>
      </c>
      <c r="AW78">
        <v>1680</v>
      </c>
      <c r="AX78">
        <v>49806</v>
      </c>
      <c r="AY78">
        <v>45</v>
      </c>
      <c r="AZ78">
        <v>56445</v>
      </c>
      <c r="BA78">
        <v>0.53400000000000003</v>
      </c>
      <c r="BB78">
        <v>1.3</v>
      </c>
    </row>
    <row r="79" spans="1:54" s="5" customFormat="1" x14ac:dyDescent="0.3">
      <c r="A79" s="5" t="s">
        <v>263</v>
      </c>
      <c r="B79" s="18">
        <v>11</v>
      </c>
      <c r="C79" s="15" t="str">
        <f t="shared" si="2"/>
        <v>NEU_11</v>
      </c>
      <c r="D79" s="12" t="s">
        <v>250</v>
      </c>
      <c r="E79" s="21">
        <v>0</v>
      </c>
      <c r="F79" s="21">
        <v>1</v>
      </c>
      <c r="G79" s="21">
        <v>0</v>
      </c>
      <c r="H79" s="5" t="s">
        <v>86</v>
      </c>
      <c r="I79" s="5" t="s">
        <v>86</v>
      </c>
      <c r="J79" s="5" t="s">
        <v>86</v>
      </c>
      <c r="K79" s="5" t="s">
        <v>86</v>
      </c>
      <c r="L79" s="5" t="s">
        <v>86</v>
      </c>
      <c r="M79" s="5" t="s">
        <v>86</v>
      </c>
      <c r="N79" s="5" t="s">
        <v>86</v>
      </c>
      <c r="O79" s="5" t="s">
        <v>86</v>
      </c>
      <c r="P79" s="5" t="s">
        <v>86</v>
      </c>
      <c r="Q79" s="5" t="s">
        <v>86</v>
      </c>
      <c r="R79" s="5" t="s">
        <v>86</v>
      </c>
      <c r="S79" s="5" t="s">
        <v>86</v>
      </c>
      <c r="T79" s="5" t="s">
        <v>86</v>
      </c>
      <c r="U79" s="5" t="s">
        <v>86</v>
      </c>
      <c r="V79" s="5" t="s">
        <v>86</v>
      </c>
      <c r="W79" s="5" t="s">
        <v>86</v>
      </c>
      <c r="X79" s="5" t="s">
        <v>86</v>
      </c>
      <c r="Y79" s="5" t="s">
        <v>86</v>
      </c>
      <c r="Z79" s="5" t="s">
        <v>86</v>
      </c>
      <c r="AA79" s="5" t="s">
        <v>86</v>
      </c>
      <c r="AB79" s="5" t="s">
        <v>86</v>
      </c>
      <c r="AC79" s="5" t="s">
        <v>86</v>
      </c>
      <c r="AD79" s="5" t="s">
        <v>86</v>
      </c>
      <c r="AE79" s="5" t="s">
        <v>86</v>
      </c>
      <c r="AF79" s="5" t="s">
        <v>86</v>
      </c>
      <c r="AG79" s="5" t="s">
        <v>86</v>
      </c>
      <c r="AH79" s="5" t="s">
        <v>86</v>
      </c>
      <c r="AI79" s="5" t="s">
        <v>86</v>
      </c>
      <c r="AJ79" s="23">
        <v>10</v>
      </c>
      <c r="AK79" s="5">
        <v>2582</v>
      </c>
      <c r="AL79" s="5" t="s">
        <v>271</v>
      </c>
      <c r="AM79" s="5" t="s">
        <v>287</v>
      </c>
      <c r="AN79" s="5" t="s">
        <v>273</v>
      </c>
      <c r="AO79" s="5" t="s">
        <v>288</v>
      </c>
      <c r="AP79" s="5" t="s">
        <v>109</v>
      </c>
      <c r="AQ79" s="5">
        <v>75050</v>
      </c>
      <c r="AR79" s="5">
        <v>2272</v>
      </c>
      <c r="AS79" s="5">
        <v>1921</v>
      </c>
      <c r="AT79" s="5">
        <v>352</v>
      </c>
      <c r="AU79" s="5">
        <v>499</v>
      </c>
      <c r="AV79" s="5">
        <v>216546</v>
      </c>
      <c r="AW79" s="5">
        <v>283</v>
      </c>
      <c r="AX79" s="5">
        <v>102819</v>
      </c>
      <c r="AY79" s="5">
        <v>47</v>
      </c>
      <c r="AZ79" s="5">
        <v>56445</v>
      </c>
      <c r="BA79" s="5">
        <v>0.53400000000000003</v>
      </c>
      <c r="BB79" s="5">
        <v>1.3</v>
      </c>
    </row>
    <row r="80" spans="1:54" x14ac:dyDescent="0.3">
      <c r="A80" t="s">
        <v>263</v>
      </c>
      <c r="B80" s="16">
        <v>12</v>
      </c>
      <c r="C80" s="7" t="str">
        <f t="shared" si="2"/>
        <v>NEU_12</v>
      </c>
      <c r="D80" s="8" t="s">
        <v>251</v>
      </c>
      <c r="E80" s="19">
        <v>0</v>
      </c>
      <c r="F80" s="19">
        <v>0</v>
      </c>
      <c r="G80" s="19">
        <v>2</v>
      </c>
      <c r="H80" t="s">
        <v>40</v>
      </c>
      <c r="I80" t="s">
        <v>268</v>
      </c>
      <c r="J80">
        <v>1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</v>
      </c>
      <c r="AB80">
        <v>0</v>
      </c>
      <c r="AC80">
        <v>1</v>
      </c>
      <c r="AD80">
        <v>2</v>
      </c>
      <c r="AE80">
        <v>0.83333333300000001</v>
      </c>
      <c r="AF80">
        <v>0</v>
      </c>
      <c r="AG80">
        <v>1</v>
      </c>
      <c r="AH80">
        <v>0.61111111100000004</v>
      </c>
      <c r="AI80" t="s">
        <v>86</v>
      </c>
      <c r="AJ80" s="9">
        <v>11</v>
      </c>
      <c r="AK80">
        <v>11075</v>
      </c>
      <c r="AL80" t="s">
        <v>271</v>
      </c>
      <c r="AM80" t="s">
        <v>277</v>
      </c>
      <c r="AN80" t="s">
        <v>273</v>
      </c>
      <c r="AO80" t="s">
        <v>278</v>
      </c>
      <c r="AP80" t="s">
        <v>109</v>
      </c>
      <c r="AQ80">
        <v>50580</v>
      </c>
      <c r="AR80">
        <v>2061</v>
      </c>
      <c r="AS80">
        <v>1819</v>
      </c>
      <c r="AT80">
        <v>241</v>
      </c>
      <c r="AU80">
        <v>325</v>
      </c>
      <c r="AV80">
        <v>89738</v>
      </c>
      <c r="AW80">
        <v>1653</v>
      </c>
      <c r="AX80">
        <v>7181</v>
      </c>
      <c r="AY80">
        <v>8</v>
      </c>
      <c r="AZ80">
        <v>56445</v>
      </c>
      <c r="BA80">
        <v>0.53400000000000003</v>
      </c>
      <c r="BB80">
        <v>1.3</v>
      </c>
    </row>
    <row r="81" spans="1:54" x14ac:dyDescent="0.3">
      <c r="A81" t="s">
        <v>263</v>
      </c>
      <c r="B81" s="16">
        <v>13</v>
      </c>
      <c r="C81" s="7" t="str">
        <f t="shared" si="2"/>
        <v>NEU_13</v>
      </c>
      <c r="D81" s="8" t="s">
        <v>252</v>
      </c>
      <c r="E81" s="19">
        <v>1</v>
      </c>
      <c r="F81" s="19">
        <v>0</v>
      </c>
      <c r="G81" s="19">
        <v>2</v>
      </c>
      <c r="H81" t="s">
        <v>43</v>
      </c>
      <c r="I81" t="s">
        <v>267</v>
      </c>
      <c r="J81">
        <v>2</v>
      </c>
      <c r="K81">
        <v>1</v>
      </c>
      <c r="L81">
        <v>1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1</v>
      </c>
      <c r="AA81">
        <v>3</v>
      </c>
      <c r="AB81">
        <v>0</v>
      </c>
      <c r="AC81">
        <v>2</v>
      </c>
      <c r="AD81">
        <v>5</v>
      </c>
      <c r="AE81">
        <v>2.5</v>
      </c>
      <c r="AF81">
        <v>0</v>
      </c>
      <c r="AG81">
        <v>2</v>
      </c>
      <c r="AH81">
        <v>1.5</v>
      </c>
      <c r="AI81" t="s">
        <v>86</v>
      </c>
      <c r="AJ81" s="9">
        <v>12</v>
      </c>
      <c r="AK81">
        <v>6415</v>
      </c>
      <c r="AL81" t="s">
        <v>271</v>
      </c>
      <c r="AM81" t="s">
        <v>281</v>
      </c>
      <c r="AN81" t="s">
        <v>273</v>
      </c>
      <c r="AO81" t="s">
        <v>282</v>
      </c>
      <c r="AP81" t="s">
        <v>109</v>
      </c>
      <c r="AQ81">
        <v>62260</v>
      </c>
      <c r="AR81">
        <v>2522</v>
      </c>
      <c r="AS81">
        <v>2203</v>
      </c>
      <c r="AT81">
        <v>319</v>
      </c>
      <c r="AU81">
        <v>411</v>
      </c>
      <c r="AV81">
        <v>191687</v>
      </c>
      <c r="AW81">
        <v>647</v>
      </c>
      <c r="AX81">
        <v>58842</v>
      </c>
      <c r="AY81">
        <v>31</v>
      </c>
      <c r="AZ81">
        <v>56445</v>
      </c>
      <c r="BA81">
        <v>0.53400000000000003</v>
      </c>
      <c r="BB81">
        <v>1.3</v>
      </c>
    </row>
    <row r="82" spans="1:54" x14ac:dyDescent="0.3">
      <c r="A82" t="s">
        <v>263</v>
      </c>
      <c r="B82" s="16">
        <v>14</v>
      </c>
      <c r="C82" s="7" t="str">
        <f t="shared" si="2"/>
        <v>NEU_14</v>
      </c>
      <c r="D82" s="8" t="s">
        <v>253</v>
      </c>
      <c r="E82" s="19">
        <v>0</v>
      </c>
      <c r="F82" s="19">
        <v>0</v>
      </c>
      <c r="G82" s="19">
        <v>2</v>
      </c>
      <c r="H82" t="s">
        <v>43</v>
      </c>
      <c r="I82" t="s">
        <v>264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1</v>
      </c>
      <c r="AD82">
        <v>1</v>
      </c>
      <c r="AE82">
        <v>0</v>
      </c>
      <c r="AF82">
        <v>0</v>
      </c>
      <c r="AG82">
        <v>1</v>
      </c>
      <c r="AH82">
        <v>0.33333333300000001</v>
      </c>
      <c r="AI82" t="s">
        <v>269</v>
      </c>
      <c r="AJ82" s="9">
        <v>13</v>
      </c>
      <c r="AK82">
        <v>10879</v>
      </c>
      <c r="AL82" t="s">
        <v>271</v>
      </c>
      <c r="AM82" t="s">
        <v>289</v>
      </c>
      <c r="AN82" t="s">
        <v>273</v>
      </c>
      <c r="AO82" t="s">
        <v>290</v>
      </c>
      <c r="AP82" t="s">
        <v>109</v>
      </c>
      <c r="AQ82">
        <v>60890</v>
      </c>
      <c r="AR82">
        <v>2158</v>
      </c>
      <c r="AS82">
        <v>1949</v>
      </c>
      <c r="AT82">
        <v>209</v>
      </c>
      <c r="AU82">
        <v>298</v>
      </c>
      <c r="AV82">
        <v>64878</v>
      </c>
      <c r="AW82">
        <v>1602</v>
      </c>
      <c r="AX82">
        <v>9057</v>
      </c>
      <c r="AY82">
        <v>14</v>
      </c>
      <c r="AZ82">
        <v>56445</v>
      </c>
      <c r="BA82">
        <v>0.53400000000000003</v>
      </c>
      <c r="BB82">
        <v>1.3</v>
      </c>
    </row>
    <row r="83" spans="1:54" x14ac:dyDescent="0.3">
      <c r="A83" t="s">
        <v>263</v>
      </c>
      <c r="B83" s="16">
        <v>15</v>
      </c>
      <c r="C83" s="7" t="str">
        <f t="shared" si="2"/>
        <v>NEU_15</v>
      </c>
      <c r="D83" s="8" t="s">
        <v>254</v>
      </c>
      <c r="E83" s="19">
        <v>1</v>
      </c>
      <c r="F83" s="19">
        <v>0</v>
      </c>
      <c r="G83" s="19">
        <v>2</v>
      </c>
      <c r="H83" t="s">
        <v>42</v>
      </c>
      <c r="I83" t="s">
        <v>194</v>
      </c>
      <c r="J83">
        <v>2</v>
      </c>
      <c r="K83">
        <v>1</v>
      </c>
      <c r="L83">
        <v>1</v>
      </c>
      <c r="M83">
        <v>1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5</v>
      </c>
      <c r="AB83">
        <v>0</v>
      </c>
      <c r="AC83">
        <v>1</v>
      </c>
      <c r="AD83">
        <v>6</v>
      </c>
      <c r="AE83">
        <v>4.1666666670000003</v>
      </c>
      <c r="AF83">
        <v>0</v>
      </c>
      <c r="AG83">
        <v>1</v>
      </c>
      <c r="AH83">
        <v>1.7222222220000001</v>
      </c>
      <c r="AI83" t="s">
        <v>86</v>
      </c>
      <c r="AJ83" s="9">
        <v>14</v>
      </c>
      <c r="AK83">
        <v>5555</v>
      </c>
      <c r="AL83" t="s">
        <v>271</v>
      </c>
      <c r="AM83" t="s">
        <v>291</v>
      </c>
      <c r="AN83" t="s">
        <v>273</v>
      </c>
      <c r="AO83" t="s">
        <v>292</v>
      </c>
      <c r="AP83" t="s">
        <v>109</v>
      </c>
      <c r="AQ83">
        <v>47920</v>
      </c>
      <c r="AR83">
        <v>2409</v>
      </c>
      <c r="AS83">
        <v>2197</v>
      </c>
      <c r="AT83">
        <v>212</v>
      </c>
      <c r="AU83">
        <v>388</v>
      </c>
      <c r="AV83">
        <v>213408</v>
      </c>
      <c r="AW83">
        <v>540</v>
      </c>
      <c r="AX83">
        <v>66696</v>
      </c>
      <c r="AY83">
        <v>31</v>
      </c>
      <c r="AZ83">
        <v>56445</v>
      </c>
      <c r="BA83">
        <v>0.53400000000000003</v>
      </c>
      <c r="BB83">
        <v>1.3</v>
      </c>
    </row>
    <row r="84" spans="1:54" x14ac:dyDescent="0.3">
      <c r="A84" t="s">
        <v>263</v>
      </c>
      <c r="B84" s="16">
        <v>16</v>
      </c>
      <c r="C84" s="7" t="str">
        <f t="shared" si="2"/>
        <v>NEU_16</v>
      </c>
      <c r="D84" s="8" t="s">
        <v>255</v>
      </c>
      <c r="E84" s="19">
        <v>1</v>
      </c>
      <c r="F84" s="19">
        <v>0</v>
      </c>
      <c r="G84" s="19">
        <v>2</v>
      </c>
      <c r="H84" t="s">
        <v>40</v>
      </c>
      <c r="I84" t="s">
        <v>266</v>
      </c>
      <c r="J84">
        <v>3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1</v>
      </c>
      <c r="AA84">
        <v>6</v>
      </c>
      <c r="AB84">
        <v>0</v>
      </c>
      <c r="AC84">
        <v>2</v>
      </c>
      <c r="AD84">
        <v>8</v>
      </c>
      <c r="AE84">
        <v>5</v>
      </c>
      <c r="AF84">
        <v>0</v>
      </c>
      <c r="AG84">
        <v>2</v>
      </c>
      <c r="AH84">
        <v>2.3333333330000001</v>
      </c>
      <c r="AI84" t="s">
        <v>86</v>
      </c>
      <c r="AJ84" s="9">
        <v>15</v>
      </c>
      <c r="AK84">
        <v>11579</v>
      </c>
      <c r="AL84" t="s">
        <v>271</v>
      </c>
      <c r="AM84" t="s">
        <v>293</v>
      </c>
      <c r="AN84" t="s">
        <v>273</v>
      </c>
      <c r="AO84" t="s">
        <v>294</v>
      </c>
      <c r="AP84" t="s">
        <v>109</v>
      </c>
      <c r="AQ84">
        <v>74740</v>
      </c>
      <c r="AR84">
        <v>1557</v>
      </c>
      <c r="AS84">
        <v>1379</v>
      </c>
      <c r="AT84">
        <v>178</v>
      </c>
      <c r="AU84">
        <v>268</v>
      </c>
      <c r="AV84">
        <v>179601</v>
      </c>
      <c r="AW84">
        <v>1734</v>
      </c>
      <c r="AX84">
        <v>97685</v>
      </c>
      <c r="AY84">
        <v>54</v>
      </c>
      <c r="AZ84">
        <v>56445</v>
      </c>
      <c r="BA84">
        <v>0.53400000000000003</v>
      </c>
      <c r="BB84">
        <v>1.3</v>
      </c>
    </row>
    <row r="85" spans="1:54" x14ac:dyDescent="0.3">
      <c r="A85" t="s">
        <v>263</v>
      </c>
      <c r="B85" s="16">
        <v>17</v>
      </c>
      <c r="C85" s="7" t="str">
        <f t="shared" si="2"/>
        <v>NEU_17</v>
      </c>
      <c r="D85" s="8" t="s">
        <v>256</v>
      </c>
      <c r="E85" s="19">
        <v>1</v>
      </c>
      <c r="F85" s="19">
        <v>0</v>
      </c>
      <c r="G85" s="19">
        <v>2</v>
      </c>
      <c r="H85" t="s">
        <v>44</v>
      </c>
      <c r="I85" t="s">
        <v>264</v>
      </c>
      <c r="J85">
        <v>3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1</v>
      </c>
      <c r="AA85">
        <v>6</v>
      </c>
      <c r="AB85">
        <v>0</v>
      </c>
      <c r="AC85">
        <v>2</v>
      </c>
      <c r="AD85">
        <v>8</v>
      </c>
      <c r="AE85">
        <v>5</v>
      </c>
      <c r="AF85">
        <v>0</v>
      </c>
      <c r="AG85">
        <v>2</v>
      </c>
      <c r="AH85">
        <v>2.3333333330000001</v>
      </c>
      <c r="AI85" t="s">
        <v>86</v>
      </c>
      <c r="AJ85" s="9">
        <v>16</v>
      </c>
      <c r="AK85">
        <v>11579</v>
      </c>
      <c r="AL85" t="s">
        <v>271</v>
      </c>
      <c r="AM85" t="s">
        <v>293</v>
      </c>
      <c r="AN85" t="s">
        <v>273</v>
      </c>
      <c r="AO85" t="s">
        <v>294</v>
      </c>
      <c r="AP85" t="s">
        <v>109</v>
      </c>
      <c r="AQ85">
        <v>74740</v>
      </c>
      <c r="AR85">
        <v>1557</v>
      </c>
      <c r="AS85">
        <v>1379</v>
      </c>
      <c r="AT85">
        <v>178</v>
      </c>
      <c r="AU85">
        <v>268</v>
      </c>
      <c r="AV85">
        <v>179601</v>
      </c>
      <c r="AW85">
        <v>1734</v>
      </c>
      <c r="AX85">
        <v>97685</v>
      </c>
      <c r="AY85">
        <v>54</v>
      </c>
      <c r="AZ85">
        <v>56445</v>
      </c>
      <c r="BA85">
        <v>0.53400000000000003</v>
      </c>
      <c r="BB85">
        <v>1.3</v>
      </c>
    </row>
    <row r="86" spans="1:54" x14ac:dyDescent="0.3">
      <c r="A86" t="s">
        <v>263</v>
      </c>
      <c r="B86" s="16">
        <v>18</v>
      </c>
      <c r="C86" s="7" t="str">
        <f t="shared" si="2"/>
        <v>NEU_18</v>
      </c>
      <c r="D86" s="8" t="s">
        <v>257</v>
      </c>
      <c r="E86" s="19">
        <v>0</v>
      </c>
      <c r="F86" s="19">
        <v>0</v>
      </c>
      <c r="G86" s="19">
        <v>2</v>
      </c>
      <c r="H86" t="s">
        <v>40</v>
      </c>
      <c r="I86" t="s">
        <v>41</v>
      </c>
      <c r="J86">
        <v>1</v>
      </c>
      <c r="K86">
        <v>0</v>
      </c>
      <c r="L86">
        <v>1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2</v>
      </c>
      <c r="AB86">
        <v>0</v>
      </c>
      <c r="AC86">
        <v>1</v>
      </c>
      <c r="AD86">
        <v>3</v>
      </c>
      <c r="AE86">
        <v>1.6666666670000001</v>
      </c>
      <c r="AF86">
        <v>0</v>
      </c>
      <c r="AG86">
        <v>1</v>
      </c>
      <c r="AH86">
        <v>0.88888888899999996</v>
      </c>
      <c r="AI86" t="s">
        <v>86</v>
      </c>
      <c r="AJ86" s="9">
        <v>17</v>
      </c>
      <c r="AK86">
        <v>11729</v>
      </c>
      <c r="AL86" t="s">
        <v>271</v>
      </c>
      <c r="AM86" t="s">
        <v>295</v>
      </c>
      <c r="AN86" t="s">
        <v>273</v>
      </c>
      <c r="AO86" t="s">
        <v>296</v>
      </c>
      <c r="AP86" t="s">
        <v>109</v>
      </c>
      <c r="AQ86">
        <v>61910</v>
      </c>
      <c r="AR86">
        <v>2679</v>
      </c>
      <c r="AS86">
        <v>2396</v>
      </c>
      <c r="AT86">
        <v>283</v>
      </c>
      <c r="AU86">
        <v>440</v>
      </c>
      <c r="AV86">
        <v>158683</v>
      </c>
      <c r="AW86">
        <v>1777</v>
      </c>
      <c r="AX86">
        <v>75493</v>
      </c>
      <c r="AY86">
        <v>48</v>
      </c>
      <c r="AZ86">
        <v>56445</v>
      </c>
      <c r="BA86">
        <v>0.53400000000000003</v>
      </c>
      <c r="BB86">
        <v>1.3</v>
      </c>
    </row>
    <row r="87" spans="1:54" x14ac:dyDescent="0.3">
      <c r="A87" t="s">
        <v>263</v>
      </c>
      <c r="B87" s="16">
        <v>19</v>
      </c>
      <c r="C87" s="7" t="str">
        <f t="shared" si="2"/>
        <v>NEU_19</v>
      </c>
      <c r="D87" s="8" t="s">
        <v>258</v>
      </c>
      <c r="E87" s="19">
        <v>0</v>
      </c>
      <c r="F87" s="19">
        <v>1</v>
      </c>
      <c r="G87" s="19">
        <v>1</v>
      </c>
      <c r="H87" t="s">
        <v>39</v>
      </c>
      <c r="I87" t="s">
        <v>270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1</v>
      </c>
      <c r="AB87">
        <v>1</v>
      </c>
      <c r="AC87">
        <v>2</v>
      </c>
      <c r="AD87">
        <v>4</v>
      </c>
      <c r="AE87">
        <v>0.83333333300000001</v>
      </c>
      <c r="AF87">
        <v>1</v>
      </c>
      <c r="AG87">
        <v>2</v>
      </c>
      <c r="AH87">
        <v>1.2777777779999999</v>
      </c>
      <c r="AI87" t="s">
        <v>86</v>
      </c>
      <c r="AJ87" s="9">
        <v>18</v>
      </c>
      <c r="AK87">
        <v>11692</v>
      </c>
      <c r="AL87" t="s">
        <v>271</v>
      </c>
      <c r="AM87" t="s">
        <v>283</v>
      </c>
      <c r="AN87" t="s">
        <v>273</v>
      </c>
      <c r="AO87" t="s">
        <v>284</v>
      </c>
      <c r="AP87" t="s">
        <v>109</v>
      </c>
      <c r="AQ87">
        <v>49180</v>
      </c>
      <c r="AR87">
        <v>3076</v>
      </c>
      <c r="AS87">
        <v>2783</v>
      </c>
      <c r="AT87">
        <v>293</v>
      </c>
      <c r="AU87">
        <v>490</v>
      </c>
      <c r="AV87">
        <v>219912</v>
      </c>
      <c r="AW87">
        <v>1764</v>
      </c>
      <c r="AX87">
        <v>104324</v>
      </c>
      <c r="AY87">
        <v>47</v>
      </c>
      <c r="AZ87">
        <v>56445</v>
      </c>
      <c r="BA87">
        <v>0.53400000000000003</v>
      </c>
      <c r="BB87">
        <v>1.3</v>
      </c>
    </row>
    <row r="88" spans="1:54" s="5" customFormat="1" x14ac:dyDescent="0.3">
      <c r="A88" s="5" t="s">
        <v>263</v>
      </c>
      <c r="B88" s="18">
        <v>20</v>
      </c>
      <c r="C88" s="15" t="str">
        <f t="shared" si="2"/>
        <v>NEU_20</v>
      </c>
      <c r="D88" s="12" t="s">
        <v>259</v>
      </c>
      <c r="E88" s="21">
        <v>0</v>
      </c>
      <c r="F88" s="21">
        <v>0</v>
      </c>
      <c r="G88" s="21">
        <v>0</v>
      </c>
      <c r="H88" s="5" t="s">
        <v>86</v>
      </c>
      <c r="I88" s="5" t="s">
        <v>86</v>
      </c>
      <c r="J88" s="5" t="s">
        <v>86</v>
      </c>
      <c r="K88" s="5" t="s">
        <v>86</v>
      </c>
      <c r="L88" s="5" t="s">
        <v>86</v>
      </c>
      <c r="M88" s="5" t="s">
        <v>86</v>
      </c>
      <c r="N88" s="5" t="s">
        <v>86</v>
      </c>
      <c r="O88" s="5" t="s">
        <v>86</v>
      </c>
      <c r="P88" s="5" t="s">
        <v>86</v>
      </c>
      <c r="Q88" s="5" t="s">
        <v>86</v>
      </c>
      <c r="R88" s="5" t="s">
        <v>86</v>
      </c>
      <c r="S88" s="5" t="s">
        <v>86</v>
      </c>
      <c r="T88" s="5" t="s">
        <v>86</v>
      </c>
      <c r="U88" s="5" t="s">
        <v>86</v>
      </c>
      <c r="V88" s="5" t="s">
        <v>86</v>
      </c>
      <c r="W88" s="5" t="s">
        <v>86</v>
      </c>
      <c r="X88" s="5" t="s">
        <v>86</v>
      </c>
      <c r="Y88" s="5" t="s">
        <v>86</v>
      </c>
      <c r="Z88" s="5" t="s">
        <v>86</v>
      </c>
      <c r="AA88" s="5" t="s">
        <v>86</v>
      </c>
      <c r="AB88" s="5" t="s">
        <v>86</v>
      </c>
      <c r="AC88" s="5" t="s">
        <v>86</v>
      </c>
      <c r="AD88" s="5" t="s">
        <v>86</v>
      </c>
      <c r="AE88" s="5" t="s">
        <v>86</v>
      </c>
      <c r="AF88" s="5" t="s">
        <v>86</v>
      </c>
      <c r="AG88" s="5" t="s">
        <v>86</v>
      </c>
      <c r="AH88" s="5" t="s">
        <v>86</v>
      </c>
      <c r="AI88" s="5" t="s">
        <v>86</v>
      </c>
      <c r="AJ88" s="23">
        <v>19</v>
      </c>
      <c r="AK88" s="5">
        <v>9292</v>
      </c>
      <c r="AL88" s="5" t="s">
        <v>271</v>
      </c>
      <c r="AM88" s="5" t="s">
        <v>297</v>
      </c>
      <c r="AN88" s="5" t="s">
        <v>273</v>
      </c>
      <c r="AO88" s="5" t="s">
        <v>298</v>
      </c>
      <c r="AP88" s="5" t="s">
        <v>109</v>
      </c>
      <c r="AQ88" s="5">
        <v>62220</v>
      </c>
      <c r="AR88" s="5">
        <v>1979</v>
      </c>
      <c r="AS88" s="5">
        <v>1699</v>
      </c>
      <c r="AT88" s="5">
        <v>281</v>
      </c>
      <c r="AU88" s="5">
        <v>353</v>
      </c>
      <c r="AV88" s="5">
        <v>113622</v>
      </c>
      <c r="AW88" s="5">
        <v>1336</v>
      </c>
      <c r="AX88" s="5">
        <v>31004</v>
      </c>
      <c r="AY88" s="5">
        <v>27</v>
      </c>
      <c r="AZ88" s="5">
        <v>56445</v>
      </c>
      <c r="BA88" s="5">
        <v>0.53400000000000003</v>
      </c>
      <c r="BB88" s="5">
        <v>1.3</v>
      </c>
    </row>
    <row r="89" spans="1:54" x14ac:dyDescent="0.3">
      <c r="A89" t="s">
        <v>263</v>
      </c>
      <c r="B89" s="16">
        <v>21</v>
      </c>
      <c r="C89" s="7" t="str">
        <f t="shared" si="2"/>
        <v>NEU_21</v>
      </c>
      <c r="D89" s="8" t="s">
        <v>260</v>
      </c>
      <c r="E89" s="19">
        <v>1</v>
      </c>
      <c r="F89" s="19">
        <v>0</v>
      </c>
      <c r="G89" s="19">
        <v>2</v>
      </c>
      <c r="H89" t="s">
        <v>42</v>
      </c>
      <c r="I89" t="s">
        <v>41</v>
      </c>
      <c r="J89">
        <v>2</v>
      </c>
      <c r="K89">
        <v>1</v>
      </c>
      <c r="L89">
        <v>1</v>
      </c>
      <c r="M89">
        <v>0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4</v>
      </c>
      <c r="AB89">
        <v>0</v>
      </c>
      <c r="AC89">
        <v>1</v>
      </c>
      <c r="AD89">
        <v>5</v>
      </c>
      <c r="AE89">
        <v>3.3333333330000001</v>
      </c>
      <c r="AF89">
        <v>0</v>
      </c>
      <c r="AG89">
        <v>1</v>
      </c>
      <c r="AH89">
        <v>1.4444444439999999</v>
      </c>
      <c r="AI89" t="s">
        <v>86</v>
      </c>
      <c r="AJ89" s="9">
        <v>20</v>
      </c>
      <c r="AK89">
        <v>11021</v>
      </c>
      <c r="AL89" t="s">
        <v>271</v>
      </c>
      <c r="AM89" t="s">
        <v>285</v>
      </c>
      <c r="AN89" t="s">
        <v>273</v>
      </c>
      <c r="AO89" t="s">
        <v>286</v>
      </c>
      <c r="AP89" t="s">
        <v>109</v>
      </c>
      <c r="AQ89">
        <v>58030</v>
      </c>
      <c r="AR89">
        <v>2598</v>
      </c>
      <c r="AS89">
        <v>2319</v>
      </c>
      <c r="AT89">
        <v>279</v>
      </c>
      <c r="AU89">
        <v>385</v>
      </c>
      <c r="AV89">
        <v>129656</v>
      </c>
      <c r="AW89">
        <v>1636</v>
      </c>
      <c r="AX89">
        <v>25692</v>
      </c>
      <c r="AY89">
        <v>20</v>
      </c>
      <c r="AZ89">
        <v>56445</v>
      </c>
      <c r="BA89">
        <v>0.53400000000000003</v>
      </c>
      <c r="BB89">
        <v>1.3</v>
      </c>
    </row>
    <row r="90" spans="1:54" x14ac:dyDescent="0.3">
      <c r="A90" t="s">
        <v>263</v>
      </c>
      <c r="B90" s="16">
        <v>22</v>
      </c>
      <c r="C90" s="7" t="str">
        <f t="shared" si="2"/>
        <v>NEU_22</v>
      </c>
      <c r="D90" s="8" t="s">
        <v>261</v>
      </c>
      <c r="E90" s="19">
        <v>1</v>
      </c>
      <c r="F90" s="19">
        <v>1</v>
      </c>
      <c r="G90" s="19">
        <v>2</v>
      </c>
      <c r="H90" t="s">
        <v>39</v>
      </c>
      <c r="I90" t="s">
        <v>41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5</v>
      </c>
      <c r="AB90">
        <v>0</v>
      </c>
      <c r="AC90">
        <v>1</v>
      </c>
      <c r="AD90">
        <v>6</v>
      </c>
      <c r="AE90">
        <v>4.1666666670000003</v>
      </c>
      <c r="AF90">
        <v>0</v>
      </c>
      <c r="AG90">
        <v>1</v>
      </c>
      <c r="AH90">
        <v>1.7222222220000001</v>
      </c>
      <c r="AI90" t="s">
        <v>86</v>
      </c>
      <c r="AJ90" s="9">
        <v>22</v>
      </c>
      <c r="AK90">
        <v>4235</v>
      </c>
      <c r="AL90" t="s">
        <v>271</v>
      </c>
      <c r="AM90" t="s">
        <v>272</v>
      </c>
      <c r="AN90" t="s">
        <v>273</v>
      </c>
      <c r="AO90" t="s">
        <v>274</v>
      </c>
      <c r="AP90" t="s">
        <v>109</v>
      </c>
      <c r="AQ90">
        <v>62880</v>
      </c>
      <c r="AR90">
        <v>2134</v>
      </c>
      <c r="AS90">
        <v>1925</v>
      </c>
      <c r="AT90">
        <v>209</v>
      </c>
      <c r="AU90">
        <v>297</v>
      </c>
      <c r="AV90">
        <v>118342</v>
      </c>
      <c r="AW90">
        <v>410</v>
      </c>
      <c r="AX90">
        <v>52740</v>
      </c>
      <c r="AY90">
        <v>45</v>
      </c>
      <c r="AZ90">
        <v>56445</v>
      </c>
      <c r="BA90">
        <v>0.53400000000000003</v>
      </c>
      <c r="BB90">
        <v>1.3</v>
      </c>
    </row>
    <row r="91" spans="1:54" x14ac:dyDescent="0.3">
      <c r="A91" t="s">
        <v>263</v>
      </c>
      <c r="B91" s="16">
        <v>23</v>
      </c>
      <c r="C91" s="7" t="str">
        <f t="shared" si="2"/>
        <v>NEU_23</v>
      </c>
      <c r="D91" s="8" t="s">
        <v>262</v>
      </c>
      <c r="E91" s="19">
        <v>1</v>
      </c>
      <c r="F91" s="19">
        <v>0</v>
      </c>
      <c r="G91" s="19">
        <v>2</v>
      </c>
      <c r="H91" t="s">
        <v>86</v>
      </c>
      <c r="I91" t="s">
        <v>41</v>
      </c>
      <c r="J91">
        <v>2</v>
      </c>
      <c r="K91">
        <v>1</v>
      </c>
      <c r="L91">
        <v>1</v>
      </c>
      <c r="M91">
        <v>1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5</v>
      </c>
      <c r="AB91">
        <v>0</v>
      </c>
      <c r="AC91">
        <v>1</v>
      </c>
      <c r="AD91">
        <v>6</v>
      </c>
      <c r="AE91">
        <v>4.1666666670000003</v>
      </c>
      <c r="AF91">
        <v>0</v>
      </c>
      <c r="AG91">
        <v>1</v>
      </c>
      <c r="AH91">
        <v>1.7222222220000001</v>
      </c>
      <c r="AI91" t="s">
        <v>86</v>
      </c>
      <c r="AJ91" s="9">
        <v>23</v>
      </c>
      <c r="AK91">
        <v>11247</v>
      </c>
      <c r="AL91" t="s">
        <v>271</v>
      </c>
      <c r="AM91" t="s">
        <v>279</v>
      </c>
      <c r="AN91" t="s">
        <v>273</v>
      </c>
      <c r="AO91" t="s">
        <v>280</v>
      </c>
      <c r="AP91" t="s">
        <v>109</v>
      </c>
      <c r="AQ91">
        <v>51700</v>
      </c>
      <c r="AR91">
        <v>2003</v>
      </c>
      <c r="AS91">
        <v>1806</v>
      </c>
      <c r="AT91">
        <v>197</v>
      </c>
      <c r="AU91">
        <v>288</v>
      </c>
      <c r="AV91">
        <v>109566</v>
      </c>
      <c r="AW91">
        <v>1680</v>
      </c>
      <c r="AX91">
        <v>49806</v>
      </c>
      <c r="AY91">
        <v>45</v>
      </c>
      <c r="AZ91">
        <v>56445</v>
      </c>
      <c r="BA91">
        <v>0.53400000000000003</v>
      </c>
      <c r="BB91">
        <v>1.3</v>
      </c>
    </row>
    <row r="92" spans="1:54" x14ac:dyDescent="0.3">
      <c r="A92" t="s">
        <v>299</v>
      </c>
      <c r="B92" s="16">
        <v>1</v>
      </c>
      <c r="C92" s="7" t="str">
        <f t="shared" si="2"/>
        <v>IVR_1</v>
      </c>
      <c r="D92" s="19" t="s">
        <v>300</v>
      </c>
      <c r="E92" s="19">
        <v>1</v>
      </c>
      <c r="F92" s="19">
        <v>0</v>
      </c>
      <c r="G92" s="19">
        <v>2</v>
      </c>
      <c r="H92" t="s">
        <v>42</v>
      </c>
      <c r="I92" t="s">
        <v>321</v>
      </c>
      <c r="J92">
        <v>3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1</v>
      </c>
      <c r="W92">
        <v>1</v>
      </c>
      <c r="X92">
        <v>0</v>
      </c>
      <c r="Y92">
        <v>0</v>
      </c>
      <c r="Z92">
        <v>1</v>
      </c>
      <c r="AA92">
        <v>6</v>
      </c>
      <c r="AB92">
        <v>1</v>
      </c>
      <c r="AC92">
        <v>3</v>
      </c>
      <c r="AD92">
        <v>10</v>
      </c>
      <c r="AE92">
        <v>5</v>
      </c>
      <c r="AF92">
        <v>1</v>
      </c>
      <c r="AG92">
        <v>3</v>
      </c>
      <c r="AH92">
        <v>3</v>
      </c>
      <c r="AI92" t="s">
        <v>86</v>
      </c>
      <c r="AJ92" s="9">
        <v>0</v>
      </c>
      <c r="AK92">
        <v>7402</v>
      </c>
      <c r="AL92" t="s">
        <v>330</v>
      </c>
      <c r="AM92" t="s">
        <v>331</v>
      </c>
      <c r="AN92" t="s">
        <v>332</v>
      </c>
      <c r="AO92" t="s">
        <v>333</v>
      </c>
      <c r="AP92" t="s">
        <v>109</v>
      </c>
      <c r="AQ92">
        <v>19260</v>
      </c>
      <c r="AR92">
        <v>3442</v>
      </c>
      <c r="AS92">
        <v>2862</v>
      </c>
      <c r="AT92">
        <v>580</v>
      </c>
      <c r="AU92">
        <v>731</v>
      </c>
      <c r="AV92">
        <v>197139</v>
      </c>
      <c r="AW92">
        <v>826</v>
      </c>
      <c r="AX92">
        <v>53382</v>
      </c>
      <c r="AY92">
        <v>27</v>
      </c>
      <c r="AZ92">
        <v>18758</v>
      </c>
      <c r="BA92">
        <v>0.38600000000000001</v>
      </c>
      <c r="BB92">
        <v>4.7</v>
      </c>
    </row>
    <row r="93" spans="1:54" x14ac:dyDescent="0.3">
      <c r="A93" t="s">
        <v>299</v>
      </c>
      <c r="B93" s="16">
        <v>2</v>
      </c>
      <c r="C93" s="7" t="str">
        <f t="shared" si="2"/>
        <v>IVR_2</v>
      </c>
      <c r="D93" s="19" t="s">
        <v>301</v>
      </c>
      <c r="E93" s="19">
        <v>1</v>
      </c>
      <c r="F93" s="19">
        <v>0</v>
      </c>
      <c r="G93" s="19">
        <v>2</v>
      </c>
      <c r="H93" t="s">
        <v>42</v>
      </c>
      <c r="I93" t="s">
        <v>41</v>
      </c>
      <c r="J93">
        <v>2</v>
      </c>
      <c r="K93">
        <v>1</v>
      </c>
      <c r="L93">
        <v>1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4</v>
      </c>
      <c r="AB93">
        <v>0</v>
      </c>
      <c r="AC93">
        <v>1</v>
      </c>
      <c r="AD93">
        <v>5</v>
      </c>
      <c r="AE93">
        <v>3.3333333330000001</v>
      </c>
      <c r="AF93">
        <v>0</v>
      </c>
      <c r="AG93">
        <v>1</v>
      </c>
      <c r="AH93">
        <v>1.4444444439999999</v>
      </c>
      <c r="AI93" t="s">
        <v>86</v>
      </c>
      <c r="AJ93" s="9">
        <v>1</v>
      </c>
      <c r="AK93">
        <v>9982</v>
      </c>
      <c r="AL93" t="s">
        <v>330</v>
      </c>
      <c r="AM93" t="s">
        <v>334</v>
      </c>
      <c r="AN93" t="s">
        <v>332</v>
      </c>
      <c r="AO93" t="s">
        <v>335</v>
      </c>
      <c r="AP93" t="s">
        <v>109</v>
      </c>
      <c r="AQ93">
        <v>21730</v>
      </c>
      <c r="AR93">
        <v>4314</v>
      </c>
      <c r="AS93">
        <v>3437</v>
      </c>
      <c r="AT93">
        <v>878</v>
      </c>
      <c r="AU93">
        <v>1261</v>
      </c>
      <c r="AV93">
        <v>359406</v>
      </c>
      <c r="AW93">
        <v>1428</v>
      </c>
      <c r="AX93">
        <v>105531</v>
      </c>
      <c r="AY93">
        <v>29</v>
      </c>
      <c r="AZ93">
        <v>18758</v>
      </c>
      <c r="BA93">
        <v>0.38600000000000001</v>
      </c>
      <c r="BB93">
        <v>4.7</v>
      </c>
    </row>
    <row r="94" spans="1:54" x14ac:dyDescent="0.3">
      <c r="A94" t="s">
        <v>299</v>
      </c>
      <c r="B94" s="16">
        <v>3</v>
      </c>
      <c r="C94" s="7" t="str">
        <f t="shared" si="2"/>
        <v>IVR_3</v>
      </c>
      <c r="D94" s="19" t="s">
        <v>302</v>
      </c>
      <c r="E94" s="19">
        <v>1</v>
      </c>
      <c r="F94" s="19">
        <v>0</v>
      </c>
      <c r="G94" s="19">
        <v>2</v>
      </c>
      <c r="H94" t="s">
        <v>43</v>
      </c>
      <c r="I94" t="s">
        <v>41</v>
      </c>
      <c r="J94">
        <v>1</v>
      </c>
      <c r="K94">
        <v>1</v>
      </c>
      <c r="L94">
        <v>0</v>
      </c>
      <c r="M94">
        <v>1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4</v>
      </c>
      <c r="AB94">
        <v>0</v>
      </c>
      <c r="AC94">
        <v>1</v>
      </c>
      <c r="AD94">
        <v>5</v>
      </c>
      <c r="AE94">
        <v>3.3333333330000001</v>
      </c>
      <c r="AF94">
        <v>0</v>
      </c>
      <c r="AG94">
        <v>1</v>
      </c>
      <c r="AH94">
        <v>1.4444444439999999</v>
      </c>
      <c r="AI94" t="s">
        <v>86</v>
      </c>
      <c r="AJ94" s="9">
        <v>2</v>
      </c>
      <c r="AK94">
        <v>9775</v>
      </c>
      <c r="AL94" t="s">
        <v>330</v>
      </c>
      <c r="AM94" t="s">
        <v>336</v>
      </c>
      <c r="AN94" t="s">
        <v>332</v>
      </c>
      <c r="AO94" t="s">
        <v>337</v>
      </c>
      <c r="AP94" t="s">
        <v>109</v>
      </c>
      <c r="AQ94">
        <v>18940</v>
      </c>
      <c r="AR94">
        <v>2500</v>
      </c>
      <c r="AS94">
        <v>1833</v>
      </c>
      <c r="AT94">
        <v>667</v>
      </c>
      <c r="AU94">
        <v>882</v>
      </c>
      <c r="AV94">
        <v>124545</v>
      </c>
      <c r="AW94">
        <v>1397</v>
      </c>
      <c r="AX94">
        <v>33407</v>
      </c>
      <c r="AY94">
        <v>27</v>
      </c>
      <c r="AZ94">
        <v>18758</v>
      </c>
      <c r="BA94">
        <v>0.38600000000000001</v>
      </c>
      <c r="BB94">
        <v>4.7</v>
      </c>
    </row>
    <row r="95" spans="1:54" x14ac:dyDescent="0.3">
      <c r="A95" t="s">
        <v>299</v>
      </c>
      <c r="B95" s="16">
        <v>4</v>
      </c>
      <c r="C95" s="7" t="str">
        <f t="shared" si="2"/>
        <v>IVR_4</v>
      </c>
      <c r="D95" s="19" t="s">
        <v>303</v>
      </c>
      <c r="E95" s="19">
        <v>1</v>
      </c>
      <c r="F95" s="19">
        <v>0</v>
      </c>
      <c r="G95" s="19">
        <v>1</v>
      </c>
      <c r="H95" t="s">
        <v>44</v>
      </c>
      <c r="I95" t="s">
        <v>41</v>
      </c>
      <c r="J95">
        <v>5</v>
      </c>
      <c r="K95">
        <v>1</v>
      </c>
      <c r="L95">
        <v>1</v>
      </c>
      <c r="M95">
        <v>1</v>
      </c>
      <c r="N95">
        <v>1</v>
      </c>
      <c r="O95">
        <v>1</v>
      </c>
      <c r="P95">
        <v>0</v>
      </c>
      <c r="Q95">
        <v>1</v>
      </c>
      <c r="R95">
        <v>1</v>
      </c>
      <c r="S95">
        <v>1</v>
      </c>
      <c r="T95">
        <v>1</v>
      </c>
      <c r="U95">
        <v>0</v>
      </c>
      <c r="V95">
        <v>1</v>
      </c>
      <c r="W95">
        <v>1</v>
      </c>
      <c r="X95">
        <v>1</v>
      </c>
      <c r="Y95">
        <v>1</v>
      </c>
      <c r="Z95">
        <v>0</v>
      </c>
      <c r="AA95">
        <v>5</v>
      </c>
      <c r="AB95">
        <v>4</v>
      </c>
      <c r="AC95">
        <v>4</v>
      </c>
      <c r="AD95">
        <v>13</v>
      </c>
      <c r="AE95">
        <v>4.1666666670000003</v>
      </c>
      <c r="AF95">
        <v>4</v>
      </c>
      <c r="AG95">
        <v>4</v>
      </c>
      <c r="AH95">
        <v>4.0555555559999998</v>
      </c>
      <c r="AI95" t="s">
        <v>322</v>
      </c>
      <c r="AJ95" s="9">
        <v>3</v>
      </c>
      <c r="AK95">
        <v>10951</v>
      </c>
      <c r="AL95" t="s">
        <v>330</v>
      </c>
      <c r="AM95" t="s">
        <v>338</v>
      </c>
      <c r="AN95" t="s">
        <v>332</v>
      </c>
      <c r="AO95" t="s">
        <v>339</v>
      </c>
      <c r="AP95" t="s">
        <v>109</v>
      </c>
      <c r="AQ95">
        <v>19210</v>
      </c>
      <c r="AR95">
        <v>4801</v>
      </c>
      <c r="AS95">
        <v>2805</v>
      </c>
      <c r="AT95">
        <v>1997</v>
      </c>
      <c r="AU95">
        <v>2001</v>
      </c>
      <c r="AV95">
        <v>928074</v>
      </c>
      <c r="AW95">
        <v>1616</v>
      </c>
      <c r="AX95">
        <v>203727</v>
      </c>
      <c r="AY95">
        <v>22</v>
      </c>
      <c r="AZ95">
        <v>18758</v>
      </c>
      <c r="BA95">
        <v>0.38600000000000001</v>
      </c>
      <c r="BB95">
        <v>4.7</v>
      </c>
    </row>
    <row r="96" spans="1:54" x14ac:dyDescent="0.3">
      <c r="A96" t="s">
        <v>299</v>
      </c>
      <c r="B96" s="16">
        <v>5</v>
      </c>
      <c r="C96" s="7" t="str">
        <f t="shared" si="2"/>
        <v>IVR_5</v>
      </c>
      <c r="D96" s="19" t="s">
        <v>304</v>
      </c>
      <c r="E96" s="19">
        <v>1</v>
      </c>
      <c r="F96" s="19">
        <v>0</v>
      </c>
      <c r="G96" s="19">
        <v>1</v>
      </c>
      <c r="H96" t="s">
        <v>43</v>
      </c>
      <c r="I96" t="s">
        <v>323</v>
      </c>
      <c r="J96">
        <v>2</v>
      </c>
      <c r="K96">
        <v>1</v>
      </c>
      <c r="L96">
        <v>1</v>
      </c>
      <c r="M96">
        <v>1</v>
      </c>
      <c r="N96">
        <v>1</v>
      </c>
      <c r="O96">
        <v>0</v>
      </c>
      <c r="P96">
        <v>1</v>
      </c>
      <c r="Q96">
        <v>0</v>
      </c>
      <c r="R96">
        <v>1</v>
      </c>
      <c r="S96">
        <v>1</v>
      </c>
      <c r="T96">
        <v>0</v>
      </c>
      <c r="U96">
        <v>0</v>
      </c>
      <c r="V96">
        <v>1</v>
      </c>
      <c r="W96">
        <v>1</v>
      </c>
      <c r="X96">
        <v>0</v>
      </c>
      <c r="Y96">
        <v>1</v>
      </c>
      <c r="Z96">
        <v>1</v>
      </c>
      <c r="AA96">
        <v>5</v>
      </c>
      <c r="AB96">
        <v>2</v>
      </c>
      <c r="AC96">
        <v>4</v>
      </c>
      <c r="AD96">
        <v>11</v>
      </c>
      <c r="AE96">
        <v>4.1666666670000003</v>
      </c>
      <c r="AF96">
        <v>2</v>
      </c>
      <c r="AG96">
        <v>4</v>
      </c>
      <c r="AH96">
        <v>3.388888889</v>
      </c>
      <c r="AI96" t="s">
        <v>86</v>
      </c>
      <c r="AJ96" s="9">
        <v>4</v>
      </c>
      <c r="AK96">
        <v>9552</v>
      </c>
      <c r="AL96" t="s">
        <v>330</v>
      </c>
      <c r="AM96" t="s">
        <v>340</v>
      </c>
      <c r="AN96" t="s">
        <v>332</v>
      </c>
      <c r="AO96" t="s">
        <v>341</v>
      </c>
      <c r="AP96" t="s">
        <v>109</v>
      </c>
      <c r="AQ96">
        <v>18800</v>
      </c>
      <c r="AR96">
        <v>4180</v>
      </c>
      <c r="AS96">
        <v>3236</v>
      </c>
      <c r="AT96">
        <v>944</v>
      </c>
      <c r="AU96">
        <v>1248</v>
      </c>
      <c r="AV96">
        <v>406057</v>
      </c>
      <c r="AW96">
        <v>1365</v>
      </c>
      <c r="AX96">
        <v>174286</v>
      </c>
      <c r="AY96">
        <v>43</v>
      </c>
      <c r="AZ96">
        <v>18758</v>
      </c>
      <c r="BA96">
        <v>0.38600000000000001</v>
      </c>
      <c r="BB96">
        <v>4.7</v>
      </c>
    </row>
    <row r="97" spans="1:54" x14ac:dyDescent="0.3">
      <c r="A97" t="s">
        <v>299</v>
      </c>
      <c r="B97" s="16">
        <v>6</v>
      </c>
      <c r="C97" s="7" t="str">
        <f t="shared" si="2"/>
        <v>IVR_6</v>
      </c>
      <c r="D97" s="19" t="s">
        <v>305</v>
      </c>
      <c r="E97" s="19">
        <v>0</v>
      </c>
      <c r="F97" s="19">
        <v>0</v>
      </c>
      <c r="G97" s="19">
        <v>1</v>
      </c>
      <c r="H97" t="s">
        <v>43</v>
      </c>
      <c r="I97" t="s">
        <v>50</v>
      </c>
      <c r="J97">
        <v>1</v>
      </c>
      <c r="K97">
        <v>1</v>
      </c>
      <c r="L97">
        <v>0</v>
      </c>
      <c r="M97">
        <v>0</v>
      </c>
      <c r="N97">
        <v>1</v>
      </c>
      <c r="O97">
        <v>1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1</v>
      </c>
      <c r="Z97">
        <v>0</v>
      </c>
      <c r="AA97">
        <v>3</v>
      </c>
      <c r="AB97">
        <v>1</v>
      </c>
      <c r="AC97">
        <v>3</v>
      </c>
      <c r="AD97">
        <v>7</v>
      </c>
      <c r="AE97">
        <v>2.5</v>
      </c>
      <c r="AF97">
        <v>1</v>
      </c>
      <c r="AG97">
        <v>3</v>
      </c>
      <c r="AH97">
        <v>2.1666666669999999</v>
      </c>
      <c r="AI97" t="s">
        <v>86</v>
      </c>
      <c r="AJ97" s="9">
        <v>5</v>
      </c>
      <c r="AK97">
        <v>10404</v>
      </c>
      <c r="AL97" t="s">
        <v>330</v>
      </c>
      <c r="AM97" t="s">
        <v>342</v>
      </c>
      <c r="AN97" t="s">
        <v>332</v>
      </c>
      <c r="AO97" t="s">
        <v>343</v>
      </c>
      <c r="AP97" t="s">
        <v>109</v>
      </c>
      <c r="AQ97">
        <v>13390</v>
      </c>
      <c r="AR97">
        <v>5074</v>
      </c>
      <c r="AS97">
        <v>3686</v>
      </c>
      <c r="AT97">
        <v>1388</v>
      </c>
      <c r="AU97">
        <v>1932</v>
      </c>
      <c r="AV97">
        <v>777228</v>
      </c>
      <c r="AW97">
        <v>1530</v>
      </c>
      <c r="AX97">
        <v>80279</v>
      </c>
      <c r="AY97">
        <v>10</v>
      </c>
      <c r="AZ97">
        <v>18758</v>
      </c>
      <c r="BA97">
        <v>0.38600000000000001</v>
      </c>
      <c r="BB97">
        <v>4.7</v>
      </c>
    </row>
    <row r="98" spans="1:54" x14ac:dyDescent="0.3">
      <c r="A98" t="s">
        <v>299</v>
      </c>
      <c r="B98" s="16">
        <v>7</v>
      </c>
      <c r="C98" s="7" t="str">
        <f t="shared" si="2"/>
        <v>IVR_7</v>
      </c>
      <c r="D98" s="19" t="s">
        <v>306</v>
      </c>
      <c r="E98" s="19">
        <v>1</v>
      </c>
      <c r="F98" s="19">
        <v>0</v>
      </c>
      <c r="G98" s="19">
        <v>2</v>
      </c>
      <c r="H98" t="s">
        <v>43</v>
      </c>
      <c r="I98" t="s">
        <v>41</v>
      </c>
      <c r="J98">
        <v>2</v>
      </c>
      <c r="K98">
        <v>1</v>
      </c>
      <c r="L98">
        <v>0</v>
      </c>
      <c r="M98">
        <v>1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1</v>
      </c>
      <c r="Y98">
        <v>1</v>
      </c>
      <c r="Z98">
        <v>1</v>
      </c>
      <c r="AA98">
        <v>3</v>
      </c>
      <c r="AB98">
        <v>0</v>
      </c>
      <c r="AC98">
        <v>5</v>
      </c>
      <c r="AD98">
        <v>8</v>
      </c>
      <c r="AE98">
        <v>2.5</v>
      </c>
      <c r="AF98">
        <v>0</v>
      </c>
      <c r="AG98">
        <v>5</v>
      </c>
      <c r="AH98">
        <v>2.5</v>
      </c>
      <c r="AI98" t="s">
        <v>86</v>
      </c>
      <c r="AJ98" s="9">
        <v>6</v>
      </c>
      <c r="AK98">
        <v>10404</v>
      </c>
      <c r="AL98" t="s">
        <v>330</v>
      </c>
      <c r="AM98" t="s">
        <v>342</v>
      </c>
      <c r="AN98" t="s">
        <v>332</v>
      </c>
      <c r="AO98" t="s">
        <v>343</v>
      </c>
      <c r="AP98" t="s">
        <v>109</v>
      </c>
      <c r="AQ98">
        <v>13390</v>
      </c>
      <c r="AR98">
        <v>5074</v>
      </c>
      <c r="AS98">
        <v>3686</v>
      </c>
      <c r="AT98">
        <v>1388</v>
      </c>
      <c r="AU98">
        <v>1932</v>
      </c>
      <c r="AV98">
        <v>777228</v>
      </c>
      <c r="AW98">
        <v>1530</v>
      </c>
      <c r="AX98">
        <v>80279</v>
      </c>
      <c r="AY98">
        <v>10</v>
      </c>
      <c r="AZ98">
        <v>18758</v>
      </c>
      <c r="BA98">
        <v>0.38600000000000001</v>
      </c>
      <c r="BB98">
        <v>4.7</v>
      </c>
    </row>
    <row r="99" spans="1:54" s="5" customFormat="1" x14ac:dyDescent="0.3">
      <c r="A99" s="5" t="s">
        <v>299</v>
      </c>
      <c r="B99" s="18">
        <v>8</v>
      </c>
      <c r="C99" s="15" t="str">
        <f t="shared" si="2"/>
        <v>IVR_8</v>
      </c>
      <c r="D99" s="21" t="s">
        <v>307</v>
      </c>
      <c r="E99" s="21">
        <v>0</v>
      </c>
      <c r="F99" s="21">
        <v>1</v>
      </c>
      <c r="G99" s="21">
        <v>0</v>
      </c>
      <c r="H99" s="5" t="s">
        <v>86</v>
      </c>
      <c r="I99" s="5" t="s">
        <v>86</v>
      </c>
      <c r="J99" s="5" t="s">
        <v>86</v>
      </c>
      <c r="K99" s="5" t="s">
        <v>86</v>
      </c>
      <c r="L99" s="5" t="s">
        <v>86</v>
      </c>
      <c r="M99" s="5" t="s">
        <v>86</v>
      </c>
      <c r="N99" s="5" t="s">
        <v>86</v>
      </c>
      <c r="O99" s="5" t="s">
        <v>86</v>
      </c>
      <c r="P99" s="5" t="s">
        <v>86</v>
      </c>
      <c r="Q99" s="5" t="s">
        <v>86</v>
      </c>
      <c r="R99" s="5" t="s">
        <v>86</v>
      </c>
      <c r="S99" s="5" t="s">
        <v>86</v>
      </c>
      <c r="T99" s="5" t="s">
        <v>86</v>
      </c>
      <c r="U99" s="5" t="s">
        <v>86</v>
      </c>
      <c r="V99" s="5" t="s">
        <v>86</v>
      </c>
      <c r="W99" s="5" t="s">
        <v>86</v>
      </c>
      <c r="X99" s="5" t="s">
        <v>86</v>
      </c>
      <c r="Y99" s="5" t="s">
        <v>86</v>
      </c>
      <c r="Z99" s="5" t="s">
        <v>86</v>
      </c>
      <c r="AA99" s="5" t="s">
        <v>86</v>
      </c>
      <c r="AB99" s="5" t="s">
        <v>86</v>
      </c>
      <c r="AC99" s="5" t="s">
        <v>86</v>
      </c>
      <c r="AD99" s="5" t="s">
        <v>86</v>
      </c>
      <c r="AE99" s="5" t="s">
        <v>86</v>
      </c>
      <c r="AF99" s="5" t="s">
        <v>86</v>
      </c>
      <c r="AG99" s="5" t="s">
        <v>86</v>
      </c>
      <c r="AH99" s="5" t="s">
        <v>86</v>
      </c>
      <c r="AI99" s="5" t="s">
        <v>86</v>
      </c>
      <c r="AJ99" s="22">
        <v>7</v>
      </c>
      <c r="AK99" s="5">
        <v>5994</v>
      </c>
      <c r="AL99" s="5" t="s">
        <v>330</v>
      </c>
      <c r="AM99" s="5" t="s">
        <v>344</v>
      </c>
      <c r="AN99" s="5" t="s">
        <v>332</v>
      </c>
      <c r="AO99" s="5" t="s">
        <v>345</v>
      </c>
      <c r="AP99" s="5" t="s">
        <v>109</v>
      </c>
      <c r="AQ99" s="5">
        <v>18460</v>
      </c>
      <c r="AR99" s="5">
        <v>2106</v>
      </c>
      <c r="AS99" s="5">
        <v>1669</v>
      </c>
      <c r="AT99" s="5">
        <v>437</v>
      </c>
      <c r="AU99" s="5">
        <v>527</v>
      </c>
      <c r="AV99" s="5">
        <v>401764</v>
      </c>
      <c r="AW99" s="5">
        <v>588</v>
      </c>
      <c r="AX99" s="5">
        <v>244545</v>
      </c>
      <c r="AY99" s="5">
        <v>61</v>
      </c>
      <c r="AZ99" s="5">
        <v>18758</v>
      </c>
      <c r="BA99" s="5">
        <v>0.38600000000000001</v>
      </c>
      <c r="BB99" s="5">
        <v>4.7</v>
      </c>
    </row>
    <row r="100" spans="1:54" x14ac:dyDescent="0.3">
      <c r="A100" t="s">
        <v>299</v>
      </c>
      <c r="B100" s="16">
        <v>9</v>
      </c>
      <c r="C100" s="7" t="str">
        <f t="shared" si="2"/>
        <v>IVR_9</v>
      </c>
      <c r="D100" s="19" t="s">
        <v>308</v>
      </c>
      <c r="E100" s="19">
        <v>1</v>
      </c>
      <c r="F100" s="19">
        <v>0</v>
      </c>
      <c r="G100" s="19">
        <v>1</v>
      </c>
      <c r="H100" t="s">
        <v>44</v>
      </c>
      <c r="I100" t="s">
        <v>323</v>
      </c>
      <c r="J100">
        <v>5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1</v>
      </c>
      <c r="Z100">
        <v>1</v>
      </c>
      <c r="AA100">
        <v>6</v>
      </c>
      <c r="AB100">
        <v>3</v>
      </c>
      <c r="AC100">
        <v>3</v>
      </c>
      <c r="AD100">
        <v>12</v>
      </c>
      <c r="AE100">
        <v>5</v>
      </c>
      <c r="AF100">
        <v>3</v>
      </c>
      <c r="AG100">
        <v>3</v>
      </c>
      <c r="AH100">
        <v>3.6666666669999999</v>
      </c>
      <c r="AI100" t="s">
        <v>86</v>
      </c>
      <c r="AJ100" s="9">
        <v>8</v>
      </c>
      <c r="AK100">
        <v>5994</v>
      </c>
      <c r="AL100" t="s">
        <v>330</v>
      </c>
      <c r="AM100" t="s">
        <v>344</v>
      </c>
      <c r="AN100" t="s">
        <v>332</v>
      </c>
      <c r="AO100" t="s">
        <v>345</v>
      </c>
      <c r="AP100" t="s">
        <v>109</v>
      </c>
      <c r="AQ100">
        <v>18460</v>
      </c>
      <c r="AR100">
        <v>2106</v>
      </c>
      <c r="AS100">
        <v>1669</v>
      </c>
      <c r="AT100">
        <v>437</v>
      </c>
      <c r="AU100">
        <v>527</v>
      </c>
      <c r="AV100">
        <v>401764</v>
      </c>
      <c r="AW100">
        <v>588</v>
      </c>
      <c r="AX100">
        <v>244545</v>
      </c>
      <c r="AY100">
        <v>61</v>
      </c>
      <c r="AZ100">
        <v>18758</v>
      </c>
      <c r="BA100">
        <v>0.38600000000000001</v>
      </c>
      <c r="BB100">
        <v>4.7</v>
      </c>
    </row>
    <row r="101" spans="1:54" x14ac:dyDescent="0.3">
      <c r="A101" t="s">
        <v>299</v>
      </c>
      <c r="B101" s="16">
        <v>10</v>
      </c>
      <c r="C101" s="7" t="str">
        <f t="shared" si="2"/>
        <v>IVR_10</v>
      </c>
      <c r="D101" s="19" t="s">
        <v>309</v>
      </c>
      <c r="E101" s="19">
        <v>0</v>
      </c>
      <c r="F101" s="19">
        <v>0</v>
      </c>
      <c r="G101" s="19">
        <v>2</v>
      </c>
      <c r="H101" t="s">
        <v>43</v>
      </c>
      <c r="I101" t="s">
        <v>323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5</v>
      </c>
      <c r="AB101">
        <v>0</v>
      </c>
      <c r="AC101">
        <v>2</v>
      </c>
      <c r="AD101">
        <v>7</v>
      </c>
      <c r="AE101">
        <v>4.1666666670000003</v>
      </c>
      <c r="AF101">
        <v>0</v>
      </c>
      <c r="AG101">
        <v>2</v>
      </c>
      <c r="AH101">
        <v>2.0555555559999998</v>
      </c>
      <c r="AI101" t="s">
        <v>86</v>
      </c>
      <c r="AJ101" s="9">
        <v>9</v>
      </c>
      <c r="AK101">
        <v>10210</v>
      </c>
      <c r="AL101" t="s">
        <v>330</v>
      </c>
      <c r="AM101" t="s">
        <v>346</v>
      </c>
      <c r="AN101" t="s">
        <v>332</v>
      </c>
      <c r="AO101" t="s">
        <v>347</v>
      </c>
      <c r="AP101" t="s">
        <v>109</v>
      </c>
      <c r="AQ101">
        <v>18260</v>
      </c>
      <c r="AR101">
        <v>2960</v>
      </c>
      <c r="AS101">
        <v>2122</v>
      </c>
      <c r="AT101">
        <v>839</v>
      </c>
      <c r="AU101">
        <v>1092</v>
      </c>
      <c r="AV101">
        <v>177845</v>
      </c>
      <c r="AW101">
        <v>1480</v>
      </c>
      <c r="AX101">
        <v>47685</v>
      </c>
      <c r="AY101">
        <v>27</v>
      </c>
      <c r="AZ101">
        <v>18758</v>
      </c>
      <c r="BA101">
        <v>0.38600000000000001</v>
      </c>
      <c r="BB101">
        <v>4.7</v>
      </c>
    </row>
    <row r="102" spans="1:54" x14ac:dyDescent="0.3">
      <c r="A102" t="s">
        <v>299</v>
      </c>
      <c r="B102" s="16">
        <v>11</v>
      </c>
      <c r="C102" s="7" t="str">
        <f t="shared" si="2"/>
        <v>IVR_11</v>
      </c>
      <c r="D102" s="19" t="s">
        <v>310</v>
      </c>
      <c r="E102" s="19">
        <v>0</v>
      </c>
      <c r="F102" s="19">
        <v>0</v>
      </c>
      <c r="G102" s="19">
        <v>1</v>
      </c>
      <c r="H102" t="s">
        <v>43</v>
      </c>
      <c r="I102" t="s">
        <v>321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1</v>
      </c>
      <c r="AA102">
        <v>1</v>
      </c>
      <c r="AB102">
        <v>1</v>
      </c>
      <c r="AC102">
        <v>3</v>
      </c>
      <c r="AD102">
        <v>5</v>
      </c>
      <c r="AE102">
        <v>0.83333333300000001</v>
      </c>
      <c r="AF102">
        <v>1</v>
      </c>
      <c r="AG102">
        <v>3</v>
      </c>
      <c r="AH102">
        <v>1.611111111</v>
      </c>
      <c r="AI102" t="s">
        <v>86</v>
      </c>
      <c r="AJ102" s="9">
        <v>10</v>
      </c>
      <c r="AK102">
        <v>10242</v>
      </c>
      <c r="AL102" t="s">
        <v>330</v>
      </c>
      <c r="AM102" t="s">
        <v>348</v>
      </c>
      <c r="AN102" t="s">
        <v>332</v>
      </c>
      <c r="AO102" t="s">
        <v>349</v>
      </c>
      <c r="AP102" t="s">
        <v>109</v>
      </c>
      <c r="AQ102">
        <v>19580</v>
      </c>
      <c r="AR102">
        <v>2070</v>
      </c>
      <c r="AS102">
        <v>1661</v>
      </c>
      <c r="AT102">
        <v>408</v>
      </c>
      <c r="AU102">
        <v>571</v>
      </c>
      <c r="AV102">
        <v>122769</v>
      </c>
      <c r="AW102">
        <v>1495</v>
      </c>
      <c r="AX102">
        <v>45575</v>
      </c>
      <c r="AY102">
        <v>37</v>
      </c>
      <c r="AZ102">
        <v>18758</v>
      </c>
      <c r="BA102">
        <v>0.38600000000000001</v>
      </c>
      <c r="BB102">
        <v>4.7</v>
      </c>
    </row>
    <row r="103" spans="1:54" x14ac:dyDescent="0.3">
      <c r="A103" t="s">
        <v>299</v>
      </c>
      <c r="B103" s="16">
        <v>12</v>
      </c>
      <c r="C103" s="7" t="str">
        <f t="shared" si="2"/>
        <v>IVR_12</v>
      </c>
      <c r="D103" s="19" t="s">
        <v>311</v>
      </c>
      <c r="E103" s="19">
        <v>1</v>
      </c>
      <c r="F103" s="19">
        <v>0</v>
      </c>
      <c r="G103" s="19">
        <v>2</v>
      </c>
      <c r="H103" t="s">
        <v>43</v>
      </c>
      <c r="I103" t="s">
        <v>41</v>
      </c>
      <c r="J103">
        <v>2</v>
      </c>
      <c r="K103">
        <v>1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1</v>
      </c>
      <c r="Z103">
        <v>1</v>
      </c>
      <c r="AA103">
        <v>5</v>
      </c>
      <c r="AB103">
        <v>2</v>
      </c>
      <c r="AC103">
        <v>3</v>
      </c>
      <c r="AD103">
        <v>10</v>
      </c>
      <c r="AE103">
        <v>4.1666666670000003</v>
      </c>
      <c r="AF103">
        <v>2</v>
      </c>
      <c r="AG103">
        <v>3</v>
      </c>
      <c r="AH103">
        <v>3.0555555559999998</v>
      </c>
      <c r="AI103" t="s">
        <v>324</v>
      </c>
      <c r="AJ103" s="9">
        <v>11</v>
      </c>
      <c r="AK103">
        <v>14997</v>
      </c>
      <c r="AL103" t="s">
        <v>350</v>
      </c>
      <c r="AM103" t="s">
        <v>351</v>
      </c>
      <c r="AN103" t="s">
        <v>107</v>
      </c>
      <c r="AO103" t="s">
        <v>352</v>
      </c>
      <c r="AP103" t="s">
        <v>109</v>
      </c>
      <c r="AQ103">
        <v>17950</v>
      </c>
      <c r="AR103">
        <v>2091</v>
      </c>
      <c r="AS103">
        <v>1615</v>
      </c>
      <c r="AT103">
        <v>476</v>
      </c>
      <c r="AU103">
        <v>673</v>
      </c>
      <c r="AV103">
        <v>105004</v>
      </c>
      <c r="AW103">
        <v>2387</v>
      </c>
      <c r="AX103">
        <v>30841</v>
      </c>
      <c r="AY103">
        <v>29</v>
      </c>
      <c r="AZ103">
        <v>27174</v>
      </c>
      <c r="BA103">
        <v>0.36799999999999999</v>
      </c>
      <c r="BB103">
        <v>2.1</v>
      </c>
    </row>
    <row r="104" spans="1:54" s="29" customFormat="1" x14ac:dyDescent="0.3">
      <c r="A104" s="29" t="s">
        <v>299</v>
      </c>
      <c r="B104" s="30">
        <v>13</v>
      </c>
      <c r="C104" s="26" t="str">
        <f t="shared" si="2"/>
        <v>IVR_13</v>
      </c>
      <c r="D104" s="31" t="s">
        <v>312</v>
      </c>
      <c r="E104" s="31">
        <v>1</v>
      </c>
      <c r="F104" s="31">
        <v>0</v>
      </c>
      <c r="G104" s="31">
        <v>2</v>
      </c>
      <c r="H104" s="29" t="s">
        <v>44</v>
      </c>
      <c r="I104" s="29" t="s">
        <v>323</v>
      </c>
      <c r="J104" s="29">
        <v>3</v>
      </c>
      <c r="K104" s="29">
        <v>1</v>
      </c>
      <c r="L104" s="29">
        <v>1</v>
      </c>
      <c r="M104" s="29">
        <v>1</v>
      </c>
      <c r="N104" s="29">
        <v>1</v>
      </c>
      <c r="O104" s="29">
        <v>1</v>
      </c>
      <c r="P104" s="29">
        <v>0</v>
      </c>
      <c r="Q104" s="29">
        <v>1</v>
      </c>
      <c r="R104" s="29">
        <v>1</v>
      </c>
      <c r="S104" s="29">
        <v>1</v>
      </c>
      <c r="T104" s="29">
        <v>0</v>
      </c>
      <c r="U104" s="29">
        <v>1</v>
      </c>
      <c r="V104" s="29">
        <v>1</v>
      </c>
      <c r="W104" s="29">
        <v>1</v>
      </c>
      <c r="X104" s="29">
        <v>0</v>
      </c>
      <c r="Y104" s="29">
        <v>0</v>
      </c>
      <c r="Z104" s="29">
        <v>1</v>
      </c>
      <c r="AA104" s="29">
        <v>5</v>
      </c>
      <c r="AB104" s="29">
        <v>4</v>
      </c>
      <c r="AC104" s="29">
        <v>3</v>
      </c>
      <c r="AD104" s="29">
        <v>12</v>
      </c>
      <c r="AE104" s="29">
        <v>4.1666666670000003</v>
      </c>
      <c r="AF104" s="29">
        <v>4</v>
      </c>
      <c r="AG104" s="29">
        <v>3</v>
      </c>
      <c r="AH104" s="29">
        <v>3.7222222220000001</v>
      </c>
      <c r="AI104" s="29" t="s">
        <v>86</v>
      </c>
      <c r="AJ104" s="28">
        <v>12</v>
      </c>
      <c r="AK104" s="29">
        <v>8239</v>
      </c>
      <c r="AL104" s="29" t="s">
        <v>330</v>
      </c>
      <c r="AM104" s="29" t="s">
        <v>353</v>
      </c>
      <c r="AN104" s="29" t="s">
        <v>332</v>
      </c>
      <c r="AO104" s="29" t="s">
        <v>354</v>
      </c>
      <c r="AP104" s="29" t="s">
        <v>109</v>
      </c>
      <c r="AQ104" s="29" t="s">
        <v>86</v>
      </c>
      <c r="AR104" s="29">
        <v>1770</v>
      </c>
      <c r="AS104" s="29">
        <v>1323</v>
      </c>
      <c r="AT104" s="29">
        <v>447</v>
      </c>
      <c r="AU104" s="29">
        <v>511</v>
      </c>
      <c r="AV104" s="29">
        <v>435916</v>
      </c>
      <c r="AW104" s="29">
        <v>1053</v>
      </c>
      <c r="AX104" s="29">
        <v>215318</v>
      </c>
      <c r="AY104" s="29">
        <v>49</v>
      </c>
      <c r="AZ104" s="29">
        <v>18758</v>
      </c>
      <c r="BA104" s="29">
        <v>0.38600000000000001</v>
      </c>
      <c r="BB104" s="29">
        <v>4.7</v>
      </c>
    </row>
    <row r="105" spans="1:54" x14ac:dyDescent="0.3">
      <c r="A105" t="s">
        <v>299</v>
      </c>
      <c r="B105" s="16">
        <v>14</v>
      </c>
      <c r="C105" s="7" t="str">
        <f t="shared" si="2"/>
        <v>IVR_14</v>
      </c>
      <c r="D105" s="19" t="s">
        <v>313</v>
      </c>
      <c r="E105" s="19">
        <v>1</v>
      </c>
      <c r="F105" s="19">
        <v>0</v>
      </c>
      <c r="G105" s="19">
        <v>2</v>
      </c>
      <c r="H105" t="s">
        <v>325</v>
      </c>
      <c r="I105" t="s">
        <v>326</v>
      </c>
      <c r="J105">
        <v>3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6</v>
      </c>
      <c r="AB105">
        <v>1</v>
      </c>
      <c r="AC105">
        <v>4</v>
      </c>
      <c r="AD105">
        <v>11</v>
      </c>
      <c r="AE105">
        <v>5</v>
      </c>
      <c r="AF105">
        <v>1</v>
      </c>
      <c r="AG105">
        <v>4</v>
      </c>
      <c r="AH105">
        <v>3.3333333330000001</v>
      </c>
      <c r="AI105" t="s">
        <v>327</v>
      </c>
      <c r="AJ105" s="9">
        <v>13</v>
      </c>
      <c r="AK105">
        <v>10404</v>
      </c>
      <c r="AL105" t="s">
        <v>330</v>
      </c>
      <c r="AM105" t="s">
        <v>342</v>
      </c>
      <c r="AN105" t="s">
        <v>332</v>
      </c>
      <c r="AO105" t="s">
        <v>343</v>
      </c>
      <c r="AP105" t="s">
        <v>109</v>
      </c>
      <c r="AQ105">
        <v>13390</v>
      </c>
      <c r="AR105">
        <v>5074</v>
      </c>
      <c r="AS105">
        <v>3686</v>
      </c>
      <c r="AT105">
        <v>1388</v>
      </c>
      <c r="AU105">
        <v>1932</v>
      </c>
      <c r="AV105">
        <v>777228</v>
      </c>
      <c r="AW105">
        <v>1530</v>
      </c>
      <c r="AX105">
        <v>80279</v>
      </c>
      <c r="AY105">
        <v>10</v>
      </c>
      <c r="AZ105">
        <v>18758</v>
      </c>
      <c r="BA105">
        <v>0.38600000000000001</v>
      </c>
      <c r="BB105">
        <v>4.7</v>
      </c>
    </row>
    <row r="106" spans="1:54" x14ac:dyDescent="0.3">
      <c r="A106" t="s">
        <v>299</v>
      </c>
      <c r="B106" s="16">
        <v>15</v>
      </c>
      <c r="C106" s="7" t="str">
        <f t="shared" si="2"/>
        <v>IVR_15</v>
      </c>
      <c r="D106" s="19" t="s">
        <v>314</v>
      </c>
      <c r="E106" s="19">
        <v>0</v>
      </c>
      <c r="F106" s="19">
        <v>0</v>
      </c>
      <c r="G106" s="19">
        <v>1</v>
      </c>
      <c r="H106" t="s">
        <v>42</v>
      </c>
      <c r="I106" t="s">
        <v>321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1</v>
      </c>
      <c r="AA106">
        <v>4</v>
      </c>
      <c r="AB106">
        <v>1</v>
      </c>
      <c r="AC106">
        <v>3</v>
      </c>
      <c r="AD106">
        <v>8</v>
      </c>
      <c r="AE106">
        <v>3.3333333330000001</v>
      </c>
      <c r="AF106">
        <v>1</v>
      </c>
      <c r="AG106">
        <v>3</v>
      </c>
      <c r="AH106">
        <v>2.4444444440000002</v>
      </c>
      <c r="AI106" t="s">
        <v>86</v>
      </c>
      <c r="AJ106" s="9">
        <v>14</v>
      </c>
      <c r="AK106">
        <v>10270</v>
      </c>
      <c r="AL106" t="s">
        <v>330</v>
      </c>
      <c r="AM106" t="s">
        <v>355</v>
      </c>
      <c r="AN106" t="s">
        <v>332</v>
      </c>
      <c r="AO106" t="s">
        <v>356</v>
      </c>
      <c r="AP106" t="s">
        <v>109</v>
      </c>
      <c r="AQ106">
        <v>24560</v>
      </c>
      <c r="AR106">
        <v>2730</v>
      </c>
      <c r="AS106">
        <v>2032</v>
      </c>
      <c r="AT106">
        <v>698</v>
      </c>
      <c r="AU106">
        <v>827</v>
      </c>
      <c r="AV106">
        <v>193099</v>
      </c>
      <c r="AW106">
        <v>1510</v>
      </c>
      <c r="AX106">
        <v>55834</v>
      </c>
      <c r="AY106">
        <v>29</v>
      </c>
      <c r="AZ106">
        <v>18758</v>
      </c>
      <c r="BA106">
        <v>0.38600000000000001</v>
      </c>
      <c r="BB106">
        <v>4.7</v>
      </c>
    </row>
    <row r="107" spans="1:54" x14ac:dyDescent="0.3">
      <c r="A107" t="s">
        <v>299</v>
      </c>
      <c r="B107" s="16">
        <v>16</v>
      </c>
      <c r="C107" s="7" t="str">
        <f t="shared" si="2"/>
        <v>IVR_16</v>
      </c>
      <c r="D107" s="19" t="s">
        <v>315</v>
      </c>
      <c r="E107" s="19">
        <v>0</v>
      </c>
      <c r="F107" s="19">
        <v>0</v>
      </c>
      <c r="G107" s="19">
        <v>1</v>
      </c>
      <c r="H107" t="s">
        <v>44</v>
      </c>
      <c r="I107" t="s">
        <v>321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1</v>
      </c>
      <c r="AA107">
        <v>2</v>
      </c>
      <c r="AB107">
        <v>2</v>
      </c>
      <c r="AC107">
        <v>3</v>
      </c>
      <c r="AD107">
        <v>7</v>
      </c>
      <c r="AE107">
        <v>1.6666666670000001</v>
      </c>
      <c r="AF107">
        <v>2</v>
      </c>
      <c r="AG107">
        <v>3</v>
      </c>
      <c r="AH107">
        <v>2.2222222220000001</v>
      </c>
      <c r="AI107" t="s">
        <v>86</v>
      </c>
      <c r="AJ107" s="9">
        <v>15</v>
      </c>
      <c r="AK107">
        <v>2458</v>
      </c>
      <c r="AL107" t="s">
        <v>330</v>
      </c>
      <c r="AM107" t="s">
        <v>357</v>
      </c>
      <c r="AN107" t="s">
        <v>332</v>
      </c>
      <c r="AO107" t="s">
        <v>358</v>
      </c>
      <c r="AP107" t="s">
        <v>109</v>
      </c>
      <c r="AQ107">
        <v>17190</v>
      </c>
      <c r="AR107">
        <v>2462</v>
      </c>
      <c r="AS107">
        <v>1874</v>
      </c>
      <c r="AT107">
        <v>588</v>
      </c>
      <c r="AU107">
        <v>746</v>
      </c>
      <c r="AV107">
        <v>236229</v>
      </c>
      <c r="AW107">
        <v>268</v>
      </c>
      <c r="AX107">
        <v>55203</v>
      </c>
      <c r="AY107">
        <v>23</v>
      </c>
      <c r="AZ107">
        <v>18758</v>
      </c>
      <c r="BA107">
        <v>0.38600000000000001</v>
      </c>
      <c r="BB107">
        <v>4.7</v>
      </c>
    </row>
    <row r="108" spans="1:54" x14ac:dyDescent="0.3">
      <c r="A108" t="s">
        <v>299</v>
      </c>
      <c r="B108" s="16">
        <v>17</v>
      </c>
      <c r="C108" s="7" t="str">
        <f t="shared" si="2"/>
        <v>IVR_17</v>
      </c>
      <c r="D108" s="19" t="s">
        <v>316</v>
      </c>
      <c r="E108" s="19">
        <v>1</v>
      </c>
      <c r="F108" s="19">
        <v>0</v>
      </c>
      <c r="G108" s="19">
        <v>2</v>
      </c>
      <c r="H108" t="s">
        <v>325</v>
      </c>
      <c r="I108" t="s">
        <v>326</v>
      </c>
      <c r="J108">
        <v>4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0</v>
      </c>
      <c r="S108">
        <v>1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1</v>
      </c>
      <c r="Z108">
        <v>1</v>
      </c>
      <c r="AA108">
        <v>6</v>
      </c>
      <c r="AB108">
        <v>3</v>
      </c>
      <c r="AC108">
        <v>3</v>
      </c>
      <c r="AD108">
        <v>12</v>
      </c>
      <c r="AE108">
        <v>5</v>
      </c>
      <c r="AF108">
        <v>3</v>
      </c>
      <c r="AG108">
        <v>3</v>
      </c>
      <c r="AH108">
        <v>3.6666666669999999</v>
      </c>
      <c r="AI108" t="s">
        <v>86</v>
      </c>
      <c r="AJ108" s="9">
        <v>16</v>
      </c>
      <c r="AK108">
        <v>10404</v>
      </c>
      <c r="AL108" t="s">
        <v>330</v>
      </c>
      <c r="AM108" t="s">
        <v>342</v>
      </c>
      <c r="AN108" t="s">
        <v>332</v>
      </c>
      <c r="AO108" t="s">
        <v>343</v>
      </c>
      <c r="AP108" t="s">
        <v>109</v>
      </c>
      <c r="AQ108">
        <v>13390</v>
      </c>
      <c r="AR108">
        <v>5074</v>
      </c>
      <c r="AS108">
        <v>3686</v>
      </c>
      <c r="AT108">
        <v>1388</v>
      </c>
      <c r="AU108">
        <v>1932</v>
      </c>
      <c r="AV108">
        <v>777228</v>
      </c>
      <c r="AW108">
        <v>1530</v>
      </c>
      <c r="AX108">
        <v>80279</v>
      </c>
      <c r="AY108">
        <v>10</v>
      </c>
      <c r="AZ108">
        <v>18758</v>
      </c>
      <c r="BA108">
        <v>0.38600000000000001</v>
      </c>
      <c r="BB108">
        <v>4.7</v>
      </c>
    </row>
    <row r="109" spans="1:54" x14ac:dyDescent="0.3">
      <c r="A109" t="s">
        <v>299</v>
      </c>
      <c r="B109" s="16">
        <v>18</v>
      </c>
      <c r="C109" s="7" t="str">
        <f t="shared" si="2"/>
        <v>IVR_18</v>
      </c>
      <c r="D109" s="19" t="s">
        <v>317</v>
      </c>
      <c r="E109" s="19">
        <v>1</v>
      </c>
      <c r="F109" s="19">
        <v>0</v>
      </c>
      <c r="G109" s="19">
        <v>1</v>
      </c>
      <c r="H109" t="s">
        <v>328</v>
      </c>
      <c r="I109" t="s">
        <v>323</v>
      </c>
      <c r="J109">
        <v>2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1</v>
      </c>
      <c r="AA109">
        <v>6</v>
      </c>
      <c r="AB109">
        <v>1</v>
      </c>
      <c r="AC109">
        <v>3</v>
      </c>
      <c r="AD109">
        <v>10</v>
      </c>
      <c r="AE109">
        <v>5</v>
      </c>
      <c r="AF109">
        <v>1</v>
      </c>
      <c r="AG109">
        <v>3</v>
      </c>
      <c r="AH109">
        <v>3</v>
      </c>
      <c r="AI109" t="s">
        <v>329</v>
      </c>
      <c r="AJ109" s="9">
        <v>17</v>
      </c>
      <c r="AK109">
        <v>10672</v>
      </c>
      <c r="AL109" t="s">
        <v>330</v>
      </c>
      <c r="AM109" t="s">
        <v>359</v>
      </c>
      <c r="AN109" t="s">
        <v>332</v>
      </c>
      <c r="AO109" t="s">
        <v>360</v>
      </c>
      <c r="AP109" t="s">
        <v>109</v>
      </c>
      <c r="AQ109">
        <v>17550</v>
      </c>
      <c r="AR109">
        <v>3531</v>
      </c>
      <c r="AS109">
        <v>2518</v>
      </c>
      <c r="AT109">
        <v>1013</v>
      </c>
      <c r="AU109">
        <v>1428</v>
      </c>
      <c r="AV109">
        <v>493432</v>
      </c>
      <c r="AW109">
        <v>1566</v>
      </c>
      <c r="AX109">
        <v>54613</v>
      </c>
      <c r="AY109">
        <v>11</v>
      </c>
      <c r="AZ109">
        <v>18758</v>
      </c>
      <c r="BA109">
        <v>0.38600000000000001</v>
      </c>
      <c r="BB109">
        <v>4.7</v>
      </c>
    </row>
    <row r="110" spans="1:54" x14ac:dyDescent="0.3">
      <c r="A110" t="s">
        <v>299</v>
      </c>
      <c r="B110" s="16">
        <v>19</v>
      </c>
      <c r="C110" s="7" t="str">
        <f t="shared" si="2"/>
        <v>IVR_19</v>
      </c>
      <c r="D110" s="19" t="s">
        <v>318</v>
      </c>
      <c r="E110" s="19">
        <v>0</v>
      </c>
      <c r="F110" s="19">
        <v>0</v>
      </c>
      <c r="G110" s="19">
        <v>1</v>
      </c>
      <c r="H110" t="s">
        <v>42</v>
      </c>
      <c r="I110" t="s">
        <v>50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1</v>
      </c>
      <c r="AB110">
        <v>1</v>
      </c>
      <c r="AC110">
        <v>2</v>
      </c>
      <c r="AD110">
        <v>4</v>
      </c>
      <c r="AE110">
        <v>0.83333333300000001</v>
      </c>
      <c r="AF110">
        <v>1</v>
      </c>
      <c r="AG110">
        <v>2</v>
      </c>
      <c r="AH110">
        <v>1.2777777779999999</v>
      </c>
      <c r="AI110" t="s">
        <v>86</v>
      </c>
      <c r="AJ110" s="9">
        <v>18</v>
      </c>
      <c r="AK110">
        <v>7867</v>
      </c>
      <c r="AL110" t="s">
        <v>330</v>
      </c>
      <c r="AM110" t="s">
        <v>361</v>
      </c>
      <c r="AN110" t="s">
        <v>332</v>
      </c>
      <c r="AO110" t="s">
        <v>362</v>
      </c>
      <c r="AP110" t="s">
        <v>109</v>
      </c>
      <c r="AQ110">
        <v>19030</v>
      </c>
      <c r="AR110">
        <v>2642</v>
      </c>
      <c r="AS110">
        <v>2208</v>
      </c>
      <c r="AT110">
        <v>435</v>
      </c>
      <c r="AU110">
        <v>691</v>
      </c>
      <c r="AV110">
        <v>72379</v>
      </c>
      <c r="AW110">
        <v>938</v>
      </c>
      <c r="AX110">
        <v>7324</v>
      </c>
      <c r="AY110">
        <v>10</v>
      </c>
      <c r="AZ110">
        <v>18758</v>
      </c>
      <c r="BA110">
        <v>0.38600000000000001</v>
      </c>
      <c r="BB110">
        <v>4.7</v>
      </c>
    </row>
    <row r="111" spans="1:54" x14ac:dyDescent="0.3">
      <c r="A111" t="s">
        <v>299</v>
      </c>
      <c r="B111" s="16">
        <v>20</v>
      </c>
      <c r="C111" s="7" t="str">
        <f t="shared" si="2"/>
        <v>IVR_20</v>
      </c>
      <c r="D111" s="19" t="s">
        <v>319</v>
      </c>
      <c r="E111" s="19">
        <v>1</v>
      </c>
      <c r="F111" s="19">
        <v>0</v>
      </c>
      <c r="G111" s="19">
        <v>2</v>
      </c>
      <c r="H111" t="s">
        <v>44</v>
      </c>
      <c r="I111" t="s">
        <v>323</v>
      </c>
      <c r="J111">
        <v>1</v>
      </c>
      <c r="K111">
        <v>1</v>
      </c>
      <c r="L111">
        <v>1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4</v>
      </c>
      <c r="AB111">
        <v>0</v>
      </c>
      <c r="AC111">
        <v>1</v>
      </c>
      <c r="AD111">
        <v>5</v>
      </c>
      <c r="AE111">
        <v>3.3333333330000001</v>
      </c>
      <c r="AF111">
        <v>0</v>
      </c>
      <c r="AG111">
        <v>1</v>
      </c>
      <c r="AH111">
        <v>1.4444444439999999</v>
      </c>
      <c r="AI111" t="s">
        <v>86</v>
      </c>
      <c r="AJ111" s="9">
        <v>19</v>
      </c>
      <c r="AK111">
        <v>9775</v>
      </c>
      <c r="AL111" t="s">
        <v>330</v>
      </c>
      <c r="AM111" t="s">
        <v>336</v>
      </c>
      <c r="AN111" t="s">
        <v>332</v>
      </c>
      <c r="AO111" t="s">
        <v>337</v>
      </c>
      <c r="AP111" t="s">
        <v>109</v>
      </c>
      <c r="AQ111">
        <v>18940</v>
      </c>
      <c r="AR111">
        <v>2500</v>
      </c>
      <c r="AS111">
        <v>1833</v>
      </c>
      <c r="AT111">
        <v>667</v>
      </c>
      <c r="AU111">
        <v>882</v>
      </c>
      <c r="AV111">
        <v>124545</v>
      </c>
      <c r="AW111">
        <v>1397</v>
      </c>
      <c r="AX111">
        <v>33407</v>
      </c>
      <c r="AY111">
        <v>27</v>
      </c>
      <c r="AZ111">
        <v>18758</v>
      </c>
      <c r="BA111">
        <v>0.38600000000000001</v>
      </c>
      <c r="BB111">
        <v>4.7</v>
      </c>
    </row>
    <row r="112" spans="1:54" x14ac:dyDescent="0.3">
      <c r="A112" t="s">
        <v>299</v>
      </c>
      <c r="B112" s="16">
        <v>21</v>
      </c>
      <c r="C112" s="7" t="str">
        <f t="shared" si="2"/>
        <v>IVR_21</v>
      </c>
      <c r="D112" s="19" t="s">
        <v>320</v>
      </c>
      <c r="E112" s="19">
        <v>0</v>
      </c>
      <c r="F112" s="19">
        <v>0</v>
      </c>
      <c r="G112" s="19">
        <v>1</v>
      </c>
      <c r="H112" t="s">
        <v>43</v>
      </c>
      <c r="I112" t="s">
        <v>321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1</v>
      </c>
      <c r="AB112">
        <v>1</v>
      </c>
      <c r="AC112">
        <v>2</v>
      </c>
      <c r="AD112">
        <v>4</v>
      </c>
      <c r="AE112">
        <v>0.83333333300000001</v>
      </c>
      <c r="AF112">
        <v>1</v>
      </c>
      <c r="AG112">
        <v>2</v>
      </c>
      <c r="AH112">
        <v>1.2777777779999999</v>
      </c>
      <c r="AI112" t="s">
        <v>86</v>
      </c>
      <c r="AJ112" s="9">
        <v>20</v>
      </c>
      <c r="AK112">
        <v>7402</v>
      </c>
      <c r="AL112" t="s">
        <v>330</v>
      </c>
      <c r="AM112" t="s">
        <v>331</v>
      </c>
      <c r="AN112" t="s">
        <v>332</v>
      </c>
      <c r="AO112" t="s">
        <v>333</v>
      </c>
      <c r="AP112" t="s">
        <v>109</v>
      </c>
      <c r="AQ112">
        <v>19260</v>
      </c>
      <c r="AR112">
        <v>3442</v>
      </c>
      <c r="AS112">
        <v>2862</v>
      </c>
      <c r="AT112">
        <v>580</v>
      </c>
      <c r="AU112">
        <v>731</v>
      </c>
      <c r="AV112">
        <v>197139</v>
      </c>
      <c r="AW112">
        <v>826</v>
      </c>
      <c r="AX112">
        <v>53382</v>
      </c>
      <c r="AY112">
        <v>27</v>
      </c>
      <c r="AZ112">
        <v>18758</v>
      </c>
      <c r="BA112">
        <v>0.38600000000000001</v>
      </c>
      <c r="BB112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D004-A794-4E7E-BD0E-233EC585A461}">
  <dimension ref="A1:BB136"/>
  <sheetViews>
    <sheetView tabSelected="1" zoomScale="70" zoomScaleNormal="70" workbookViewId="0">
      <pane xSplit="3" topLeftCell="AB1" activePane="topRight" state="frozen"/>
      <selection pane="topRight" activeCell="AN28" sqref="AN28"/>
    </sheetView>
  </sheetViews>
  <sheetFormatPr defaultRowHeight="14.4" x14ac:dyDescent="0.3"/>
  <cols>
    <col min="1" max="1" width="5.88671875" bestFit="1" customWidth="1"/>
    <col min="2" max="2" width="8.88671875" style="16"/>
    <col min="4" max="4" width="17.5546875" bestFit="1" customWidth="1"/>
    <col min="5" max="5" width="8.33203125" style="19" customWidth="1"/>
    <col min="6" max="6" width="11.77734375" style="19" bestFit="1" customWidth="1"/>
    <col min="7" max="7" width="7.88671875" style="19" customWidth="1"/>
    <col min="9" max="9" width="8" customWidth="1"/>
    <col min="34" max="34" width="12.77734375" bestFit="1" customWidth="1"/>
    <col min="35" max="35" width="12.6640625" customWidth="1"/>
    <col min="36" max="36" width="12.44140625" style="2" bestFit="1" customWidth="1"/>
    <col min="38" max="38" width="10.44140625" style="33" bestFit="1" customWidth="1"/>
    <col min="39" max="39" width="13.6640625" customWidth="1"/>
    <col min="40" max="40" width="10.33203125" bestFit="1" customWidth="1"/>
    <col min="41" max="41" width="18.6640625" customWidth="1"/>
  </cols>
  <sheetData>
    <row r="1" spans="1:54" s="2" customFormat="1" ht="15.6" x14ac:dyDescent="0.3">
      <c r="A1" s="3" t="s">
        <v>85</v>
      </c>
      <c r="B1" s="17" t="s">
        <v>84</v>
      </c>
      <c r="C1" s="2" t="s">
        <v>0</v>
      </c>
      <c r="D1" s="2" t="s">
        <v>38</v>
      </c>
      <c r="E1" s="20" t="s">
        <v>58</v>
      </c>
      <c r="F1" s="20" t="s">
        <v>60</v>
      </c>
      <c r="G1" s="20" t="s">
        <v>61</v>
      </c>
      <c r="H1" s="2" t="s">
        <v>53</v>
      </c>
      <c r="I1" s="2" t="s">
        <v>54</v>
      </c>
      <c r="J1" s="2" t="s">
        <v>59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  <c r="S1" s="2" t="s">
        <v>70</v>
      </c>
      <c r="T1" s="2" t="s">
        <v>71</v>
      </c>
      <c r="U1" s="2" t="s">
        <v>55</v>
      </c>
      <c r="V1" s="2" t="s">
        <v>72</v>
      </c>
      <c r="W1" s="2" t="s">
        <v>73</v>
      </c>
      <c r="X1" s="2" t="s">
        <v>74</v>
      </c>
      <c r="Y1" s="2" t="s">
        <v>75</v>
      </c>
      <c r="Z1" s="2" t="s">
        <v>76</v>
      </c>
      <c r="AA1" s="2" t="s">
        <v>77</v>
      </c>
      <c r="AB1" s="2" t="s">
        <v>79</v>
      </c>
      <c r="AC1" s="2" t="s">
        <v>78</v>
      </c>
      <c r="AD1" s="2" t="s">
        <v>80</v>
      </c>
      <c r="AE1" s="2" t="s">
        <v>81</v>
      </c>
      <c r="AF1" s="2" t="s">
        <v>82</v>
      </c>
      <c r="AG1" s="2" t="s">
        <v>83</v>
      </c>
      <c r="AH1" s="2" t="s">
        <v>56</v>
      </c>
      <c r="AI1" s="2" t="s">
        <v>57</v>
      </c>
      <c r="AJ1" s="2" t="s">
        <v>363</v>
      </c>
      <c r="AK1" s="2" t="s">
        <v>87</v>
      </c>
      <c r="AL1" s="32" t="s">
        <v>88</v>
      </c>
      <c r="AM1" s="2" t="s">
        <v>89</v>
      </c>
      <c r="AN1" s="2" t="s">
        <v>90</v>
      </c>
      <c r="AO1" s="2" t="s">
        <v>91</v>
      </c>
      <c r="AP1" s="2" t="s">
        <v>92</v>
      </c>
      <c r="AQ1" s="2" t="s">
        <v>93</v>
      </c>
      <c r="AR1" s="2" t="s">
        <v>94</v>
      </c>
      <c r="AS1" s="2" t="s">
        <v>95</v>
      </c>
      <c r="AT1" s="2" t="s">
        <v>96</v>
      </c>
      <c r="AU1" s="2" t="s">
        <v>97</v>
      </c>
      <c r="AV1" s="2" t="s">
        <v>98</v>
      </c>
      <c r="AW1" s="2" t="s">
        <v>99</v>
      </c>
      <c r="AX1" s="2" t="s">
        <v>100</v>
      </c>
      <c r="AY1" s="2" t="s">
        <v>101</v>
      </c>
      <c r="AZ1" s="2" t="s">
        <v>102</v>
      </c>
      <c r="BA1" s="2" t="s">
        <v>103</v>
      </c>
      <c r="BB1" s="2" t="s">
        <v>104</v>
      </c>
    </row>
    <row r="2" spans="1:54" x14ac:dyDescent="0.3">
      <c r="A2" s="6">
        <v>19</v>
      </c>
      <c r="B2" s="8">
        <v>1</v>
      </c>
      <c r="C2" s="7" t="str">
        <f>A2&amp;"_"&amp;B2</f>
        <v>19_1</v>
      </c>
      <c r="D2" s="8" t="s">
        <v>1</v>
      </c>
      <c r="E2" s="8" t="s">
        <v>86</v>
      </c>
      <c r="F2" s="8" t="s">
        <v>86</v>
      </c>
      <c r="G2" s="8" t="s">
        <v>86</v>
      </c>
      <c r="H2" s="6" t="s">
        <v>39</v>
      </c>
      <c r="I2" s="6" t="s">
        <v>86</v>
      </c>
      <c r="J2" s="6">
        <v>0</v>
      </c>
      <c r="K2" s="6">
        <v>1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</v>
      </c>
      <c r="S2" s="10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10">
        <v>1</v>
      </c>
      <c r="Z2" s="10">
        <v>1</v>
      </c>
      <c r="AA2" s="6">
        <v>1</v>
      </c>
      <c r="AB2" s="6">
        <v>1</v>
      </c>
      <c r="AC2" s="6">
        <v>2</v>
      </c>
      <c r="AD2" s="6">
        <v>4</v>
      </c>
      <c r="AE2" s="6">
        <v>0.83333333300000001</v>
      </c>
      <c r="AF2" s="6" t="s">
        <v>86</v>
      </c>
      <c r="AG2" s="6">
        <v>2</v>
      </c>
      <c r="AH2" s="6">
        <v>1.2777777779999999</v>
      </c>
      <c r="AI2" s="6" t="s">
        <v>86</v>
      </c>
      <c r="AJ2" s="9" t="s">
        <v>364</v>
      </c>
      <c r="AK2">
        <v>15482</v>
      </c>
      <c r="AL2" s="33" t="s">
        <v>105</v>
      </c>
      <c r="AM2" t="s">
        <v>106</v>
      </c>
      <c r="AN2" t="s">
        <v>107</v>
      </c>
      <c r="AO2" t="s">
        <v>108</v>
      </c>
      <c r="AP2" t="s">
        <v>109</v>
      </c>
      <c r="AQ2">
        <v>30940</v>
      </c>
      <c r="AR2">
        <v>2522</v>
      </c>
      <c r="AS2">
        <v>2174</v>
      </c>
      <c r="AT2">
        <v>348</v>
      </c>
      <c r="AU2">
        <v>445</v>
      </c>
      <c r="AV2">
        <v>62599</v>
      </c>
      <c r="AW2">
        <v>2850</v>
      </c>
      <c r="AX2">
        <v>11777</v>
      </c>
      <c r="AY2">
        <v>19</v>
      </c>
      <c r="AZ2">
        <v>23713</v>
      </c>
      <c r="BA2">
        <v>0.495</v>
      </c>
      <c r="BB2">
        <v>4.7</v>
      </c>
    </row>
    <row r="3" spans="1:54" s="5" customFormat="1" x14ac:dyDescent="0.3">
      <c r="A3" s="11">
        <v>19</v>
      </c>
      <c r="B3" s="12">
        <v>2</v>
      </c>
      <c r="C3" s="15" t="str">
        <f t="shared" ref="C3:C37" si="0">A3&amp;"_"&amp;B3</f>
        <v>19_2</v>
      </c>
      <c r="D3" s="12" t="s">
        <v>2</v>
      </c>
      <c r="E3" s="12" t="s">
        <v>86</v>
      </c>
      <c r="F3" s="12" t="s">
        <v>86</v>
      </c>
      <c r="G3" s="12">
        <v>0</v>
      </c>
      <c r="H3" s="13" t="s">
        <v>86</v>
      </c>
      <c r="I3" s="13" t="s">
        <v>86</v>
      </c>
      <c r="J3" s="13" t="s">
        <v>86</v>
      </c>
      <c r="K3" s="13" t="s">
        <v>86</v>
      </c>
      <c r="L3" s="13" t="s">
        <v>86</v>
      </c>
      <c r="M3" s="13" t="s">
        <v>86</v>
      </c>
      <c r="N3" s="13" t="s">
        <v>86</v>
      </c>
      <c r="O3" s="13" t="s">
        <v>86</v>
      </c>
      <c r="P3" s="13" t="s">
        <v>86</v>
      </c>
      <c r="Q3" s="13" t="s">
        <v>86</v>
      </c>
      <c r="R3" s="13" t="s">
        <v>86</v>
      </c>
      <c r="S3" s="13" t="s">
        <v>86</v>
      </c>
      <c r="T3" s="13" t="s">
        <v>86</v>
      </c>
      <c r="U3" s="13" t="s">
        <v>86</v>
      </c>
      <c r="V3" s="13" t="s">
        <v>86</v>
      </c>
      <c r="W3" s="13" t="s">
        <v>86</v>
      </c>
      <c r="X3" s="13" t="s">
        <v>86</v>
      </c>
      <c r="Y3" s="13" t="s">
        <v>86</v>
      </c>
      <c r="Z3" s="14" t="s">
        <v>86</v>
      </c>
      <c r="AA3" s="13" t="s">
        <v>86</v>
      </c>
      <c r="AB3" s="13" t="s">
        <v>86</v>
      </c>
      <c r="AC3" s="13" t="s">
        <v>86</v>
      </c>
      <c r="AD3" s="13" t="s">
        <v>86</v>
      </c>
      <c r="AE3" s="11" t="s">
        <v>86</v>
      </c>
      <c r="AF3" s="11" t="s">
        <v>86</v>
      </c>
      <c r="AG3" s="11" t="s">
        <v>86</v>
      </c>
      <c r="AH3" s="11" t="s">
        <v>86</v>
      </c>
      <c r="AI3" s="13" t="s">
        <v>86</v>
      </c>
      <c r="AJ3" s="22" t="s">
        <v>370</v>
      </c>
      <c r="AK3" s="5">
        <v>15482</v>
      </c>
      <c r="AL3" s="34" t="s">
        <v>105</v>
      </c>
      <c r="AM3" s="5" t="s">
        <v>106</v>
      </c>
      <c r="AN3" s="5" t="s">
        <v>107</v>
      </c>
      <c r="AO3" s="5" t="s">
        <v>108</v>
      </c>
      <c r="AP3" s="5" t="s">
        <v>109</v>
      </c>
      <c r="AQ3" s="5">
        <v>30940</v>
      </c>
      <c r="AR3" s="5">
        <v>2522</v>
      </c>
      <c r="AS3" s="5">
        <v>2174</v>
      </c>
      <c r="AT3" s="5">
        <v>348</v>
      </c>
      <c r="AU3" s="5">
        <v>445</v>
      </c>
      <c r="AV3" s="5">
        <v>62599</v>
      </c>
      <c r="AW3" s="5">
        <v>2850</v>
      </c>
      <c r="AX3" s="5">
        <v>11777</v>
      </c>
      <c r="AY3" s="5">
        <v>19</v>
      </c>
      <c r="AZ3" s="5">
        <v>23713</v>
      </c>
      <c r="BA3" s="5">
        <v>0.495</v>
      </c>
      <c r="BB3" s="5">
        <v>4.7</v>
      </c>
    </row>
    <row r="4" spans="1:54" x14ac:dyDescent="0.3">
      <c r="A4" s="6">
        <v>19</v>
      </c>
      <c r="B4" s="8">
        <v>3</v>
      </c>
      <c r="C4" s="7" t="str">
        <f t="shared" si="0"/>
        <v>19_3</v>
      </c>
      <c r="D4" s="8" t="s">
        <v>4</v>
      </c>
      <c r="E4" s="8" t="s">
        <v>86</v>
      </c>
      <c r="F4" s="8" t="s">
        <v>86</v>
      </c>
      <c r="G4" s="8" t="s">
        <v>86</v>
      </c>
      <c r="H4" s="6" t="s">
        <v>42</v>
      </c>
      <c r="I4" s="6" t="s">
        <v>86</v>
      </c>
      <c r="J4" s="6">
        <v>0</v>
      </c>
      <c r="K4" s="6">
        <v>1</v>
      </c>
      <c r="L4" s="6">
        <v>0</v>
      </c>
      <c r="M4" s="6">
        <v>0</v>
      </c>
      <c r="N4" s="6">
        <v>0</v>
      </c>
      <c r="O4" s="10">
        <v>0</v>
      </c>
      <c r="P4" s="6">
        <v>0</v>
      </c>
      <c r="Q4" s="6">
        <v>0</v>
      </c>
      <c r="R4" s="10">
        <v>1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10">
        <v>0</v>
      </c>
      <c r="Y4" s="10">
        <v>1</v>
      </c>
      <c r="Z4" s="10">
        <v>1</v>
      </c>
      <c r="AA4" s="6">
        <v>1</v>
      </c>
      <c r="AB4" s="6">
        <v>1</v>
      </c>
      <c r="AC4" s="6">
        <v>2</v>
      </c>
      <c r="AD4" s="6">
        <v>4</v>
      </c>
      <c r="AE4" s="6">
        <v>0.83333333300000001</v>
      </c>
      <c r="AF4" s="6">
        <v>1</v>
      </c>
      <c r="AG4" s="6">
        <v>2</v>
      </c>
      <c r="AH4" s="6">
        <v>1.2777777779999999</v>
      </c>
      <c r="AI4" s="6" t="s">
        <v>86</v>
      </c>
      <c r="AJ4" s="9" t="s">
        <v>371</v>
      </c>
      <c r="AK4">
        <v>15483</v>
      </c>
      <c r="AL4" s="33" t="s">
        <v>105</v>
      </c>
      <c r="AM4" t="s">
        <v>110</v>
      </c>
      <c r="AN4" t="s">
        <v>107</v>
      </c>
      <c r="AO4" t="s">
        <v>111</v>
      </c>
      <c r="AP4" t="s">
        <v>109</v>
      </c>
      <c r="AQ4">
        <v>32600</v>
      </c>
      <c r="AR4">
        <v>5067</v>
      </c>
      <c r="AS4">
        <v>4547</v>
      </c>
      <c r="AT4">
        <v>520</v>
      </c>
      <c r="AU4">
        <v>732</v>
      </c>
      <c r="AV4">
        <v>127180</v>
      </c>
      <c r="AW4">
        <v>2851</v>
      </c>
      <c r="AX4">
        <v>28586</v>
      </c>
      <c r="AY4">
        <v>22</v>
      </c>
      <c r="AZ4">
        <v>23713</v>
      </c>
      <c r="BA4">
        <v>0.495</v>
      </c>
      <c r="BB4">
        <v>4.7</v>
      </c>
    </row>
    <row r="5" spans="1:54" x14ac:dyDescent="0.3">
      <c r="A5" s="6">
        <v>19</v>
      </c>
      <c r="B5" s="8">
        <v>4</v>
      </c>
      <c r="C5" s="7" t="str">
        <f t="shared" si="0"/>
        <v>19_4</v>
      </c>
      <c r="D5" s="8" t="s">
        <v>5</v>
      </c>
      <c r="E5" s="8" t="s">
        <v>86</v>
      </c>
      <c r="F5" s="8" t="s">
        <v>86</v>
      </c>
      <c r="G5" s="8" t="s">
        <v>86</v>
      </c>
      <c r="H5" s="6" t="s">
        <v>43</v>
      </c>
      <c r="I5" s="6" t="s">
        <v>86</v>
      </c>
      <c r="J5" s="6">
        <v>3</v>
      </c>
      <c r="K5" s="6">
        <v>1</v>
      </c>
      <c r="L5" s="6">
        <v>1</v>
      </c>
      <c r="M5" s="6">
        <v>1</v>
      </c>
      <c r="N5" s="6">
        <v>1</v>
      </c>
      <c r="O5" s="10">
        <v>1</v>
      </c>
      <c r="P5" s="6">
        <v>1</v>
      </c>
      <c r="Q5" s="6">
        <v>0</v>
      </c>
      <c r="R5" s="6">
        <v>1</v>
      </c>
      <c r="S5" s="6">
        <v>1</v>
      </c>
      <c r="T5" s="6">
        <v>0</v>
      </c>
      <c r="U5" s="6">
        <v>1</v>
      </c>
      <c r="V5" s="6">
        <v>1</v>
      </c>
      <c r="W5" s="6">
        <v>1</v>
      </c>
      <c r="X5" s="10">
        <v>0</v>
      </c>
      <c r="Y5" s="10">
        <v>0</v>
      </c>
      <c r="Z5" s="10">
        <v>0</v>
      </c>
      <c r="AA5" s="6">
        <v>6</v>
      </c>
      <c r="AB5" s="6">
        <v>3</v>
      </c>
      <c r="AC5" s="6">
        <v>2</v>
      </c>
      <c r="AD5" s="6">
        <v>11</v>
      </c>
      <c r="AE5" s="6">
        <v>5</v>
      </c>
      <c r="AF5" s="6">
        <v>3</v>
      </c>
      <c r="AG5" s="6">
        <v>2</v>
      </c>
      <c r="AH5" s="6">
        <v>3.3333333330000001</v>
      </c>
      <c r="AI5" s="6" t="s">
        <v>86</v>
      </c>
      <c r="AJ5" s="9" t="s">
        <v>372</v>
      </c>
      <c r="AK5">
        <v>15482</v>
      </c>
      <c r="AL5" s="33" t="s">
        <v>105</v>
      </c>
      <c r="AM5" t="s">
        <v>106</v>
      </c>
      <c r="AN5" t="s">
        <v>107</v>
      </c>
      <c r="AO5" t="s">
        <v>108</v>
      </c>
      <c r="AP5" t="s">
        <v>109</v>
      </c>
      <c r="AQ5">
        <v>30940</v>
      </c>
      <c r="AR5">
        <v>2522</v>
      </c>
      <c r="AS5">
        <v>2174</v>
      </c>
      <c r="AT5">
        <v>348</v>
      </c>
      <c r="AU5">
        <v>445</v>
      </c>
      <c r="AV5">
        <v>62599</v>
      </c>
      <c r="AW5">
        <v>2850</v>
      </c>
      <c r="AX5">
        <v>11777</v>
      </c>
      <c r="AY5">
        <v>19</v>
      </c>
      <c r="AZ5">
        <v>23713</v>
      </c>
      <c r="BA5">
        <v>0.495</v>
      </c>
      <c r="BB5">
        <v>4.7</v>
      </c>
    </row>
    <row r="6" spans="1:54" x14ac:dyDescent="0.3">
      <c r="A6" s="6">
        <v>19</v>
      </c>
      <c r="B6" s="8">
        <v>5</v>
      </c>
      <c r="C6" s="7" t="str">
        <f t="shared" si="0"/>
        <v>19_5</v>
      </c>
      <c r="D6" s="8" t="s">
        <v>6</v>
      </c>
      <c r="E6" s="8" t="s">
        <v>86</v>
      </c>
      <c r="F6" s="8" t="s">
        <v>86</v>
      </c>
      <c r="G6" s="8" t="s">
        <v>86</v>
      </c>
      <c r="H6" s="6" t="s">
        <v>42</v>
      </c>
      <c r="I6" s="6" t="s">
        <v>86</v>
      </c>
      <c r="J6" s="6">
        <v>1</v>
      </c>
      <c r="K6" s="6">
        <v>1</v>
      </c>
      <c r="L6" s="6">
        <v>1</v>
      </c>
      <c r="M6" s="6">
        <v>0</v>
      </c>
      <c r="N6" s="6">
        <v>1</v>
      </c>
      <c r="O6" s="10">
        <v>1</v>
      </c>
      <c r="P6" s="6">
        <v>0</v>
      </c>
      <c r="Q6" s="6">
        <v>0</v>
      </c>
      <c r="R6" s="6">
        <v>0</v>
      </c>
      <c r="S6" s="6">
        <v>1</v>
      </c>
      <c r="T6" s="6">
        <v>0</v>
      </c>
      <c r="U6" s="6">
        <v>0</v>
      </c>
      <c r="V6" s="6">
        <v>0</v>
      </c>
      <c r="W6" s="6">
        <v>1</v>
      </c>
      <c r="X6" s="10">
        <v>0</v>
      </c>
      <c r="Y6" s="10">
        <v>0</v>
      </c>
      <c r="Z6" s="10">
        <v>0</v>
      </c>
      <c r="AA6" s="6">
        <v>4</v>
      </c>
      <c r="AB6" s="6">
        <v>1</v>
      </c>
      <c r="AC6" s="6">
        <v>1</v>
      </c>
      <c r="AD6" s="6">
        <v>6</v>
      </c>
      <c r="AE6" s="6">
        <v>3.3333333330000001</v>
      </c>
      <c r="AF6" s="6">
        <v>1</v>
      </c>
      <c r="AG6" s="6">
        <v>1</v>
      </c>
      <c r="AH6" s="6">
        <v>1.7777777779999999</v>
      </c>
      <c r="AI6" s="6" t="s">
        <v>86</v>
      </c>
      <c r="AJ6" s="9" t="s">
        <v>365</v>
      </c>
      <c r="AK6">
        <v>15483</v>
      </c>
      <c r="AL6" s="33" t="s">
        <v>105</v>
      </c>
      <c r="AM6" t="s">
        <v>110</v>
      </c>
      <c r="AN6" t="s">
        <v>107</v>
      </c>
      <c r="AO6" t="s">
        <v>111</v>
      </c>
      <c r="AP6" t="s">
        <v>109</v>
      </c>
      <c r="AQ6">
        <v>32600</v>
      </c>
      <c r="AR6">
        <v>5067</v>
      </c>
      <c r="AS6">
        <v>4547</v>
      </c>
      <c r="AT6">
        <v>520</v>
      </c>
      <c r="AU6">
        <v>732</v>
      </c>
      <c r="AV6">
        <v>127180</v>
      </c>
      <c r="AW6">
        <v>2851</v>
      </c>
      <c r="AX6">
        <v>28586</v>
      </c>
      <c r="AY6">
        <v>22</v>
      </c>
      <c r="AZ6">
        <v>23713</v>
      </c>
      <c r="BA6">
        <v>0.495</v>
      </c>
      <c r="BB6">
        <v>4.7</v>
      </c>
    </row>
    <row r="7" spans="1:54" x14ac:dyDescent="0.3">
      <c r="A7" s="6">
        <v>19</v>
      </c>
      <c r="B7" s="8">
        <v>6</v>
      </c>
      <c r="C7" s="7" t="str">
        <f t="shared" si="0"/>
        <v>19_6</v>
      </c>
      <c r="D7" s="8" t="s">
        <v>7</v>
      </c>
      <c r="E7" s="8" t="s">
        <v>86</v>
      </c>
      <c r="F7" s="8" t="s">
        <v>86</v>
      </c>
      <c r="G7" s="8" t="s">
        <v>86</v>
      </c>
      <c r="H7" s="6" t="s">
        <v>39</v>
      </c>
      <c r="I7" s="6" t="s">
        <v>86</v>
      </c>
      <c r="J7" s="6">
        <v>2</v>
      </c>
      <c r="K7" s="6">
        <v>0</v>
      </c>
      <c r="L7" s="6">
        <v>1</v>
      </c>
      <c r="M7" s="6">
        <v>0</v>
      </c>
      <c r="N7" s="6">
        <v>1</v>
      </c>
      <c r="O7" s="10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10">
        <v>0</v>
      </c>
      <c r="Y7" s="10">
        <v>0</v>
      </c>
      <c r="Z7" s="10">
        <v>1</v>
      </c>
      <c r="AA7" s="6">
        <v>2</v>
      </c>
      <c r="AB7" s="6">
        <v>0</v>
      </c>
      <c r="AC7" s="6">
        <v>1</v>
      </c>
      <c r="AD7" s="6">
        <v>3</v>
      </c>
      <c r="AE7" s="6">
        <v>1.6666666670000001</v>
      </c>
      <c r="AF7" s="6">
        <v>0</v>
      </c>
      <c r="AG7" s="6">
        <v>1</v>
      </c>
      <c r="AH7" s="6">
        <v>0.88888888899999996</v>
      </c>
      <c r="AI7" s="6" t="s">
        <v>86</v>
      </c>
      <c r="AJ7" s="9" t="s">
        <v>373</v>
      </c>
      <c r="AK7">
        <v>15483</v>
      </c>
      <c r="AL7" s="33" t="s">
        <v>105</v>
      </c>
      <c r="AM7" t="s">
        <v>110</v>
      </c>
      <c r="AN7" t="s">
        <v>107</v>
      </c>
      <c r="AO7" t="s">
        <v>111</v>
      </c>
      <c r="AP7" t="s">
        <v>109</v>
      </c>
      <c r="AQ7">
        <v>32600</v>
      </c>
      <c r="AR7">
        <v>5067</v>
      </c>
      <c r="AS7">
        <v>4547</v>
      </c>
      <c r="AT7">
        <v>520</v>
      </c>
      <c r="AU7">
        <v>732</v>
      </c>
      <c r="AV7">
        <v>127180</v>
      </c>
      <c r="AW7">
        <v>2851</v>
      </c>
      <c r="AX7">
        <v>28586</v>
      </c>
      <c r="AY7">
        <v>22</v>
      </c>
      <c r="AZ7">
        <v>23713</v>
      </c>
      <c r="BA7">
        <v>0.495</v>
      </c>
      <c r="BB7">
        <v>4.7</v>
      </c>
    </row>
    <row r="8" spans="1:54" x14ac:dyDescent="0.3">
      <c r="A8" s="6">
        <v>19</v>
      </c>
      <c r="B8" s="8">
        <v>7</v>
      </c>
      <c r="C8" s="7" t="str">
        <f t="shared" si="0"/>
        <v>19_7</v>
      </c>
      <c r="D8" s="8" t="s">
        <v>8</v>
      </c>
      <c r="E8" s="8" t="s">
        <v>86</v>
      </c>
      <c r="F8" s="8" t="s">
        <v>86</v>
      </c>
      <c r="G8" s="8" t="s">
        <v>86</v>
      </c>
      <c r="H8" s="6" t="s">
        <v>39</v>
      </c>
      <c r="I8" s="6" t="s">
        <v>86</v>
      </c>
      <c r="J8" s="6">
        <v>2</v>
      </c>
      <c r="K8" s="6">
        <v>0</v>
      </c>
      <c r="L8" s="6">
        <v>1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1</v>
      </c>
      <c r="W8" s="6">
        <v>0</v>
      </c>
      <c r="X8" s="6">
        <v>0</v>
      </c>
      <c r="Y8" s="6">
        <v>0</v>
      </c>
      <c r="Z8" s="10">
        <v>1</v>
      </c>
      <c r="AA8" s="6">
        <v>2</v>
      </c>
      <c r="AB8" s="6">
        <v>0</v>
      </c>
      <c r="AC8" s="6">
        <v>2</v>
      </c>
      <c r="AD8" s="6">
        <v>4</v>
      </c>
      <c r="AE8" s="6">
        <v>1.6666666670000001</v>
      </c>
      <c r="AF8" s="6">
        <v>0</v>
      </c>
      <c r="AG8" s="6">
        <v>2</v>
      </c>
      <c r="AH8" s="6">
        <v>1.2222222220000001</v>
      </c>
      <c r="AI8" s="6" t="s">
        <v>86</v>
      </c>
      <c r="AJ8" s="9" t="s">
        <v>374</v>
      </c>
      <c r="AK8">
        <v>15483</v>
      </c>
      <c r="AL8" s="33" t="s">
        <v>105</v>
      </c>
      <c r="AM8" t="s">
        <v>110</v>
      </c>
      <c r="AN8" t="s">
        <v>107</v>
      </c>
      <c r="AO8" t="s">
        <v>111</v>
      </c>
      <c r="AP8" t="s">
        <v>109</v>
      </c>
      <c r="AQ8">
        <v>32600</v>
      </c>
      <c r="AR8">
        <v>5067</v>
      </c>
      <c r="AS8">
        <v>4547</v>
      </c>
      <c r="AT8">
        <v>520</v>
      </c>
      <c r="AU8">
        <v>732</v>
      </c>
      <c r="AV8">
        <v>127180</v>
      </c>
      <c r="AW8">
        <v>2851</v>
      </c>
      <c r="AX8">
        <v>28586</v>
      </c>
      <c r="AY8">
        <v>22</v>
      </c>
      <c r="AZ8">
        <v>23713</v>
      </c>
      <c r="BA8">
        <v>0.495</v>
      </c>
      <c r="BB8">
        <v>4.7</v>
      </c>
    </row>
    <row r="9" spans="1:54" x14ac:dyDescent="0.3">
      <c r="A9" s="6">
        <v>19</v>
      </c>
      <c r="B9" s="8">
        <v>8</v>
      </c>
      <c r="C9" s="7" t="str">
        <f t="shared" si="0"/>
        <v>19_8</v>
      </c>
      <c r="D9" s="8" t="s">
        <v>9</v>
      </c>
      <c r="E9" s="8" t="s">
        <v>86</v>
      </c>
      <c r="F9" s="8" t="s">
        <v>86</v>
      </c>
      <c r="G9" s="8" t="s">
        <v>86</v>
      </c>
      <c r="H9" s="6" t="s">
        <v>43</v>
      </c>
      <c r="I9" s="6" t="s">
        <v>86</v>
      </c>
      <c r="J9" s="6">
        <v>3</v>
      </c>
      <c r="K9" s="6">
        <v>1</v>
      </c>
      <c r="L9" s="6">
        <v>1</v>
      </c>
      <c r="M9" s="6">
        <v>0</v>
      </c>
      <c r="N9" s="6">
        <v>1</v>
      </c>
      <c r="O9" s="6">
        <v>1</v>
      </c>
      <c r="P9" s="6">
        <v>0</v>
      </c>
      <c r="Q9" s="6">
        <v>1</v>
      </c>
      <c r="R9" s="6">
        <v>0</v>
      </c>
      <c r="S9" s="6">
        <v>1</v>
      </c>
      <c r="T9" s="6">
        <v>0</v>
      </c>
      <c r="U9" s="6">
        <v>0</v>
      </c>
      <c r="V9" s="6">
        <v>0</v>
      </c>
      <c r="W9" s="6">
        <v>1</v>
      </c>
      <c r="X9" s="6">
        <v>0</v>
      </c>
      <c r="Y9" s="6">
        <v>0</v>
      </c>
      <c r="Z9" s="10">
        <v>1</v>
      </c>
      <c r="AA9" s="6">
        <v>4</v>
      </c>
      <c r="AB9" s="6">
        <v>2</v>
      </c>
      <c r="AC9" s="6">
        <v>2</v>
      </c>
      <c r="AD9" s="6">
        <v>8</v>
      </c>
      <c r="AE9" s="6">
        <v>3.3333333330000001</v>
      </c>
      <c r="AF9" s="6">
        <v>2</v>
      </c>
      <c r="AG9" s="6">
        <v>2</v>
      </c>
      <c r="AH9" s="6">
        <v>2.4444444440000002</v>
      </c>
      <c r="AI9" s="6" t="s">
        <v>86</v>
      </c>
      <c r="AJ9" s="9" t="s">
        <v>369</v>
      </c>
      <c r="AK9">
        <v>15483</v>
      </c>
      <c r="AL9" s="33" t="s">
        <v>105</v>
      </c>
      <c r="AM9" t="s">
        <v>110</v>
      </c>
      <c r="AN9" t="s">
        <v>107</v>
      </c>
      <c r="AO9" t="s">
        <v>111</v>
      </c>
      <c r="AP9" t="s">
        <v>109</v>
      </c>
      <c r="AQ9">
        <v>32600</v>
      </c>
      <c r="AR9">
        <v>5067</v>
      </c>
      <c r="AS9">
        <v>4547</v>
      </c>
      <c r="AT9">
        <v>520</v>
      </c>
      <c r="AU9">
        <v>732</v>
      </c>
      <c r="AV9">
        <v>127180</v>
      </c>
      <c r="AW9">
        <v>2851</v>
      </c>
      <c r="AX9">
        <v>28586</v>
      </c>
      <c r="AY9">
        <v>22</v>
      </c>
      <c r="AZ9">
        <v>23713</v>
      </c>
      <c r="BA9">
        <v>0.495</v>
      </c>
      <c r="BB9">
        <v>4.7</v>
      </c>
    </row>
    <row r="10" spans="1:54" x14ac:dyDescent="0.3">
      <c r="A10" s="6">
        <v>19</v>
      </c>
      <c r="B10" s="8">
        <v>9</v>
      </c>
      <c r="C10" s="7" t="str">
        <f t="shared" si="0"/>
        <v>19_9</v>
      </c>
      <c r="D10" s="8" t="s">
        <v>10</v>
      </c>
      <c r="E10" s="8" t="s">
        <v>86</v>
      </c>
      <c r="F10" s="8" t="s">
        <v>86</v>
      </c>
      <c r="G10" s="8" t="s">
        <v>86</v>
      </c>
      <c r="H10" s="6" t="s">
        <v>43</v>
      </c>
      <c r="I10" s="6" t="s">
        <v>86</v>
      </c>
      <c r="J10" s="6">
        <v>3</v>
      </c>
      <c r="K10" s="6">
        <v>1</v>
      </c>
      <c r="L10" s="6">
        <v>1</v>
      </c>
      <c r="M10" s="6">
        <v>0</v>
      </c>
      <c r="N10" s="6">
        <v>1</v>
      </c>
      <c r="O10" s="6">
        <v>1</v>
      </c>
      <c r="P10" s="6">
        <v>0</v>
      </c>
      <c r="Q10" s="6">
        <v>1</v>
      </c>
      <c r="R10" s="6">
        <v>0</v>
      </c>
      <c r="S10" s="6">
        <v>1</v>
      </c>
      <c r="T10" s="6">
        <v>0</v>
      </c>
      <c r="U10" s="6">
        <v>0</v>
      </c>
      <c r="V10" s="6">
        <v>0</v>
      </c>
      <c r="W10" s="6">
        <v>1</v>
      </c>
      <c r="X10" s="6">
        <v>0</v>
      </c>
      <c r="Y10" s="6">
        <v>0</v>
      </c>
      <c r="Z10" s="10">
        <v>1</v>
      </c>
      <c r="AA10" s="6">
        <v>4</v>
      </c>
      <c r="AB10" s="6">
        <v>2</v>
      </c>
      <c r="AC10" s="6">
        <v>2</v>
      </c>
      <c r="AD10" s="6">
        <v>8</v>
      </c>
      <c r="AE10" s="6">
        <v>3.3333333330000001</v>
      </c>
      <c r="AF10" s="6">
        <v>2</v>
      </c>
      <c r="AG10" s="6">
        <v>2</v>
      </c>
      <c r="AH10" s="6">
        <v>2.4444444440000002</v>
      </c>
      <c r="AI10" s="6" t="s">
        <v>86</v>
      </c>
      <c r="AJ10" s="9" t="s">
        <v>375</v>
      </c>
      <c r="AK10">
        <v>15483</v>
      </c>
      <c r="AL10" s="33" t="s">
        <v>105</v>
      </c>
      <c r="AM10" t="s">
        <v>110</v>
      </c>
      <c r="AN10" t="s">
        <v>107</v>
      </c>
      <c r="AO10" t="s">
        <v>111</v>
      </c>
      <c r="AP10" t="s">
        <v>109</v>
      </c>
      <c r="AQ10">
        <v>32600</v>
      </c>
      <c r="AR10">
        <v>5067</v>
      </c>
      <c r="AS10">
        <v>4547</v>
      </c>
      <c r="AT10">
        <v>520</v>
      </c>
      <c r="AU10">
        <v>732</v>
      </c>
      <c r="AV10">
        <v>127180</v>
      </c>
      <c r="AW10">
        <v>2851</v>
      </c>
      <c r="AX10">
        <v>28586</v>
      </c>
      <c r="AY10">
        <v>22</v>
      </c>
      <c r="AZ10">
        <v>23713</v>
      </c>
      <c r="BA10">
        <v>0.495</v>
      </c>
      <c r="BB10">
        <v>4.7</v>
      </c>
    </row>
    <row r="11" spans="1:54" x14ac:dyDescent="0.3">
      <c r="A11" s="6">
        <v>19</v>
      </c>
      <c r="B11" s="8">
        <v>10</v>
      </c>
      <c r="C11" s="7" t="str">
        <f t="shared" si="0"/>
        <v>19_10</v>
      </c>
      <c r="D11" s="8" t="s">
        <v>11</v>
      </c>
      <c r="E11" s="8" t="s">
        <v>86</v>
      </c>
      <c r="F11" s="8" t="s">
        <v>86</v>
      </c>
      <c r="G11" s="8" t="s">
        <v>86</v>
      </c>
      <c r="H11" s="6" t="s">
        <v>39</v>
      </c>
      <c r="I11" s="6" t="s">
        <v>86</v>
      </c>
      <c r="J11" s="6">
        <v>2</v>
      </c>
      <c r="K11" s="6">
        <v>1</v>
      </c>
      <c r="L11" s="6">
        <v>1</v>
      </c>
      <c r="M11" s="6">
        <v>0</v>
      </c>
      <c r="N11" s="6">
        <v>1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1</v>
      </c>
      <c r="X11" s="6">
        <v>0</v>
      </c>
      <c r="Y11" s="6">
        <v>0</v>
      </c>
      <c r="Z11" s="10">
        <v>1</v>
      </c>
      <c r="AA11" s="6">
        <v>4</v>
      </c>
      <c r="AB11" s="6">
        <v>0</v>
      </c>
      <c r="AC11" s="6">
        <v>2</v>
      </c>
      <c r="AD11" s="6">
        <v>6</v>
      </c>
      <c r="AE11" s="6">
        <v>3.3333333330000001</v>
      </c>
      <c r="AF11" s="6">
        <v>0</v>
      </c>
      <c r="AG11" s="6">
        <v>2</v>
      </c>
      <c r="AH11" s="6">
        <v>1.7777777779999999</v>
      </c>
      <c r="AI11" s="6" t="s">
        <v>86</v>
      </c>
      <c r="AJ11" s="9" t="s">
        <v>376</v>
      </c>
      <c r="AK11">
        <v>15472</v>
      </c>
      <c r="AL11" s="33" t="s">
        <v>105</v>
      </c>
      <c r="AM11" t="s">
        <v>112</v>
      </c>
      <c r="AN11" t="s">
        <v>107</v>
      </c>
      <c r="AO11" t="s">
        <v>113</v>
      </c>
      <c r="AP11" t="s">
        <v>109</v>
      </c>
      <c r="AQ11">
        <v>36590</v>
      </c>
      <c r="AR11">
        <v>2054</v>
      </c>
      <c r="AS11">
        <v>1792</v>
      </c>
      <c r="AT11">
        <v>262</v>
      </c>
      <c r="AU11">
        <v>363</v>
      </c>
      <c r="AV11">
        <v>41948</v>
      </c>
      <c r="AW11">
        <v>2840</v>
      </c>
      <c r="AX11">
        <v>8688</v>
      </c>
      <c r="AY11">
        <v>21</v>
      </c>
      <c r="AZ11">
        <v>23713</v>
      </c>
      <c r="BA11">
        <v>0.495</v>
      </c>
      <c r="BB11">
        <v>4.7</v>
      </c>
    </row>
    <row r="12" spans="1:54" x14ac:dyDescent="0.3">
      <c r="A12" s="6">
        <v>19</v>
      </c>
      <c r="B12" s="8">
        <v>11</v>
      </c>
      <c r="C12" s="7" t="str">
        <f t="shared" si="0"/>
        <v>19_11</v>
      </c>
      <c r="D12" s="8" t="s">
        <v>12</v>
      </c>
      <c r="E12" s="8" t="s">
        <v>86</v>
      </c>
      <c r="F12" s="8" t="s">
        <v>86</v>
      </c>
      <c r="G12" s="8" t="s">
        <v>86</v>
      </c>
      <c r="H12" s="6" t="s">
        <v>39</v>
      </c>
      <c r="I12" s="6" t="s">
        <v>86</v>
      </c>
      <c r="J12" s="6">
        <v>1</v>
      </c>
      <c r="K12" s="6">
        <v>1</v>
      </c>
      <c r="L12" s="6">
        <v>1</v>
      </c>
      <c r="M12" s="6">
        <v>1</v>
      </c>
      <c r="N12" s="6">
        <v>0</v>
      </c>
      <c r="O12" s="6">
        <v>0</v>
      </c>
      <c r="P12" s="6">
        <v>0</v>
      </c>
      <c r="Q12" s="6">
        <v>0</v>
      </c>
      <c r="R12" s="6">
        <v>1</v>
      </c>
      <c r="S12" s="6">
        <v>0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1</v>
      </c>
      <c r="Z12" s="10">
        <v>1</v>
      </c>
      <c r="AA12" s="6">
        <v>3</v>
      </c>
      <c r="AB12" s="6">
        <v>1</v>
      </c>
      <c r="AC12" s="6">
        <v>3</v>
      </c>
      <c r="AD12" s="6">
        <v>7</v>
      </c>
      <c r="AE12" s="6">
        <v>2.5</v>
      </c>
      <c r="AF12" s="6">
        <v>1</v>
      </c>
      <c r="AG12" s="6">
        <v>3</v>
      </c>
      <c r="AH12" s="6">
        <v>2.1666666669999999</v>
      </c>
      <c r="AI12" s="6" t="s">
        <v>86</v>
      </c>
      <c r="AJ12" s="9" t="s">
        <v>377</v>
      </c>
      <c r="AK12">
        <v>15471</v>
      </c>
      <c r="AL12" s="33" t="s">
        <v>105</v>
      </c>
      <c r="AM12" t="s">
        <v>114</v>
      </c>
      <c r="AN12" t="s">
        <v>107</v>
      </c>
      <c r="AO12" t="s">
        <v>115</v>
      </c>
      <c r="AP12" t="s">
        <v>109</v>
      </c>
      <c r="AQ12">
        <v>38780</v>
      </c>
      <c r="AR12">
        <v>3163</v>
      </c>
      <c r="AS12">
        <v>2839</v>
      </c>
      <c r="AT12">
        <v>324</v>
      </c>
      <c r="AU12">
        <v>387</v>
      </c>
      <c r="AV12">
        <v>156014</v>
      </c>
      <c r="AW12">
        <v>2839</v>
      </c>
      <c r="AX12">
        <v>41783</v>
      </c>
      <c r="AY12">
        <v>27</v>
      </c>
      <c r="AZ12">
        <v>23713</v>
      </c>
      <c r="BA12">
        <v>0.495</v>
      </c>
      <c r="BB12">
        <v>4.7</v>
      </c>
    </row>
    <row r="13" spans="1:54" x14ac:dyDescent="0.3">
      <c r="A13" s="6">
        <v>19</v>
      </c>
      <c r="B13" s="8">
        <v>12</v>
      </c>
      <c r="C13" s="7" t="str">
        <f t="shared" si="0"/>
        <v>19_12</v>
      </c>
      <c r="D13" s="8" t="s">
        <v>13</v>
      </c>
      <c r="E13" s="8" t="s">
        <v>86</v>
      </c>
      <c r="F13" s="8" t="s">
        <v>86</v>
      </c>
      <c r="G13" s="8" t="s">
        <v>86</v>
      </c>
      <c r="H13" s="6" t="s">
        <v>39</v>
      </c>
      <c r="I13" s="6" t="s">
        <v>86</v>
      </c>
      <c r="J13" s="6">
        <v>1</v>
      </c>
      <c r="K13" s="6">
        <v>1</v>
      </c>
      <c r="L13" s="6">
        <v>1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1</v>
      </c>
      <c r="S13" s="6">
        <v>0</v>
      </c>
      <c r="T13" s="6">
        <v>1</v>
      </c>
      <c r="U13" s="6">
        <v>0</v>
      </c>
      <c r="V13" s="6">
        <v>0</v>
      </c>
      <c r="W13" s="6">
        <v>1</v>
      </c>
      <c r="X13" s="6">
        <v>0</v>
      </c>
      <c r="Y13" s="6">
        <v>1</v>
      </c>
      <c r="Z13" s="10">
        <v>1</v>
      </c>
      <c r="AA13" s="6">
        <v>2</v>
      </c>
      <c r="AB13" s="6">
        <v>2</v>
      </c>
      <c r="AC13" s="6">
        <v>3</v>
      </c>
      <c r="AD13" s="6">
        <v>7</v>
      </c>
      <c r="AE13" s="6">
        <v>1.6666666670000001</v>
      </c>
      <c r="AF13" s="6">
        <v>2</v>
      </c>
      <c r="AG13" s="6">
        <v>3</v>
      </c>
      <c r="AH13" s="6">
        <v>2.2222222220000001</v>
      </c>
      <c r="AI13" s="6" t="s">
        <v>86</v>
      </c>
      <c r="AJ13" s="9" t="s">
        <v>366</v>
      </c>
      <c r="AK13">
        <v>15471</v>
      </c>
      <c r="AL13" s="33" t="s">
        <v>105</v>
      </c>
      <c r="AM13" t="s">
        <v>114</v>
      </c>
      <c r="AN13" t="s">
        <v>107</v>
      </c>
      <c r="AO13" t="s">
        <v>115</v>
      </c>
      <c r="AP13" t="s">
        <v>109</v>
      </c>
      <c r="AQ13">
        <v>38780</v>
      </c>
      <c r="AR13">
        <v>3163</v>
      </c>
      <c r="AS13">
        <v>2839</v>
      </c>
      <c r="AT13">
        <v>324</v>
      </c>
      <c r="AU13">
        <v>387</v>
      </c>
      <c r="AV13">
        <v>156014</v>
      </c>
      <c r="AW13">
        <v>2839</v>
      </c>
      <c r="AX13">
        <v>41783</v>
      </c>
      <c r="AY13">
        <v>27</v>
      </c>
      <c r="AZ13">
        <v>23713</v>
      </c>
      <c r="BA13">
        <v>0.495</v>
      </c>
      <c r="BB13">
        <v>4.7</v>
      </c>
    </row>
    <row r="14" spans="1:54" x14ac:dyDescent="0.3">
      <c r="A14" s="6">
        <v>19</v>
      </c>
      <c r="B14" s="8">
        <v>13</v>
      </c>
      <c r="C14" s="7" t="str">
        <f t="shared" si="0"/>
        <v>19_13</v>
      </c>
      <c r="D14" s="8" t="s">
        <v>14</v>
      </c>
      <c r="E14" s="8" t="s">
        <v>86</v>
      </c>
      <c r="F14" s="8" t="s">
        <v>86</v>
      </c>
      <c r="G14" s="8" t="s">
        <v>86</v>
      </c>
      <c r="H14" s="6" t="s">
        <v>43</v>
      </c>
      <c r="I14" s="6" t="s">
        <v>86</v>
      </c>
      <c r="J14" s="6">
        <v>1</v>
      </c>
      <c r="K14" s="6">
        <v>1</v>
      </c>
      <c r="L14" s="6">
        <v>1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1</v>
      </c>
      <c r="S14" s="6">
        <v>0</v>
      </c>
      <c r="T14" s="6">
        <v>0</v>
      </c>
      <c r="U14" s="6">
        <v>0</v>
      </c>
      <c r="V14" s="6">
        <v>0</v>
      </c>
      <c r="W14" s="6">
        <v>1</v>
      </c>
      <c r="X14" s="6">
        <v>0</v>
      </c>
      <c r="Y14" s="6">
        <v>1</v>
      </c>
      <c r="Z14" s="10">
        <v>1</v>
      </c>
      <c r="AA14" s="6">
        <v>2</v>
      </c>
      <c r="AB14" s="6">
        <v>1</v>
      </c>
      <c r="AC14" s="6">
        <v>3</v>
      </c>
      <c r="AD14" s="6">
        <v>6</v>
      </c>
      <c r="AE14" s="6">
        <v>1.6666666670000001</v>
      </c>
      <c r="AF14" s="6">
        <v>1</v>
      </c>
      <c r="AG14" s="6">
        <v>3</v>
      </c>
      <c r="AH14" s="6">
        <v>1.888888889</v>
      </c>
      <c r="AI14" s="6" t="s">
        <v>86</v>
      </c>
      <c r="AJ14" s="9" t="s">
        <v>378</v>
      </c>
      <c r="AK14">
        <v>15471</v>
      </c>
      <c r="AL14" s="33" t="s">
        <v>105</v>
      </c>
      <c r="AM14" t="s">
        <v>114</v>
      </c>
      <c r="AN14" t="s">
        <v>107</v>
      </c>
      <c r="AO14" t="s">
        <v>115</v>
      </c>
      <c r="AP14" t="s">
        <v>109</v>
      </c>
      <c r="AQ14">
        <v>38780</v>
      </c>
      <c r="AR14">
        <v>3163</v>
      </c>
      <c r="AS14">
        <v>2839</v>
      </c>
      <c r="AT14">
        <v>324</v>
      </c>
      <c r="AU14">
        <v>387</v>
      </c>
      <c r="AV14">
        <v>156014</v>
      </c>
      <c r="AW14">
        <v>2839</v>
      </c>
      <c r="AX14">
        <v>41783</v>
      </c>
      <c r="AY14">
        <v>27</v>
      </c>
      <c r="AZ14">
        <v>23713</v>
      </c>
      <c r="BA14">
        <v>0.495</v>
      </c>
      <c r="BB14">
        <v>4.7</v>
      </c>
    </row>
    <row r="15" spans="1:54" x14ac:dyDescent="0.3">
      <c r="A15" s="6">
        <v>19</v>
      </c>
      <c r="B15" s="8">
        <v>14</v>
      </c>
      <c r="C15" s="7" t="str">
        <f t="shared" si="0"/>
        <v>19_14</v>
      </c>
      <c r="D15" s="8" t="s">
        <v>15</v>
      </c>
      <c r="E15" s="8" t="s">
        <v>86</v>
      </c>
      <c r="F15" s="8" t="s">
        <v>86</v>
      </c>
      <c r="G15" s="8" t="s">
        <v>86</v>
      </c>
      <c r="H15" s="6" t="s">
        <v>39</v>
      </c>
      <c r="I15" s="6" t="s">
        <v>86</v>
      </c>
      <c r="J15" s="6">
        <v>1</v>
      </c>
      <c r="K15" s="6">
        <v>0</v>
      </c>
      <c r="L15" s="6">
        <v>1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1</v>
      </c>
      <c r="X15" s="6">
        <v>0</v>
      </c>
      <c r="Y15" s="6">
        <v>0</v>
      </c>
      <c r="Z15" s="10">
        <v>1</v>
      </c>
      <c r="AA15" s="6">
        <v>2</v>
      </c>
      <c r="AB15" s="6">
        <v>0</v>
      </c>
      <c r="AC15" s="6">
        <v>2</v>
      </c>
      <c r="AD15" s="6">
        <v>4</v>
      </c>
      <c r="AE15" s="6">
        <v>1.6666666670000001</v>
      </c>
      <c r="AF15" s="6">
        <v>0</v>
      </c>
      <c r="AG15" s="6">
        <v>2</v>
      </c>
      <c r="AH15" s="6">
        <v>1.2222222220000001</v>
      </c>
      <c r="AI15" s="6" t="s">
        <v>86</v>
      </c>
      <c r="AJ15" s="9" t="s">
        <v>367</v>
      </c>
      <c r="AK15">
        <v>15471</v>
      </c>
      <c r="AL15" s="33" t="s">
        <v>105</v>
      </c>
      <c r="AM15" t="s">
        <v>114</v>
      </c>
      <c r="AN15" t="s">
        <v>107</v>
      </c>
      <c r="AO15" t="s">
        <v>115</v>
      </c>
      <c r="AP15" t="s">
        <v>109</v>
      </c>
      <c r="AQ15">
        <v>38780</v>
      </c>
      <c r="AR15">
        <v>3163</v>
      </c>
      <c r="AS15">
        <v>2839</v>
      </c>
      <c r="AT15">
        <v>324</v>
      </c>
      <c r="AU15">
        <v>387</v>
      </c>
      <c r="AV15">
        <v>156014</v>
      </c>
      <c r="AW15">
        <v>2839</v>
      </c>
      <c r="AX15">
        <v>41783</v>
      </c>
      <c r="AY15">
        <v>27</v>
      </c>
      <c r="AZ15">
        <v>23713</v>
      </c>
      <c r="BA15">
        <v>0.495</v>
      </c>
      <c r="BB15">
        <v>4.7</v>
      </c>
    </row>
    <row r="16" spans="1:54" x14ac:dyDescent="0.3">
      <c r="A16" s="6">
        <v>19</v>
      </c>
      <c r="B16" s="8">
        <v>15</v>
      </c>
      <c r="C16" s="7" t="str">
        <f t="shared" si="0"/>
        <v>19_15</v>
      </c>
      <c r="D16" s="8" t="s">
        <v>16</v>
      </c>
      <c r="E16" s="8" t="s">
        <v>86</v>
      </c>
      <c r="F16" s="8" t="s">
        <v>86</v>
      </c>
      <c r="G16" s="8" t="s">
        <v>86</v>
      </c>
      <c r="H16" s="6" t="s">
        <v>39</v>
      </c>
      <c r="I16" s="6" t="s">
        <v>86</v>
      </c>
      <c r="J16" s="6">
        <v>1</v>
      </c>
      <c r="K16" s="6">
        <v>1</v>
      </c>
      <c r="L16" s="6">
        <v>1</v>
      </c>
      <c r="M16" s="6">
        <v>1</v>
      </c>
      <c r="N16" s="6">
        <v>0</v>
      </c>
      <c r="O16" s="10">
        <v>0</v>
      </c>
      <c r="P16" s="6">
        <v>0</v>
      </c>
      <c r="Q16" s="6">
        <v>0</v>
      </c>
      <c r="R16" s="10">
        <v>1</v>
      </c>
      <c r="S16" s="10">
        <v>0</v>
      </c>
      <c r="T16" s="6">
        <v>0</v>
      </c>
      <c r="U16" s="6">
        <v>0</v>
      </c>
      <c r="V16" s="10">
        <v>0</v>
      </c>
      <c r="W16" s="6">
        <v>1</v>
      </c>
      <c r="X16" s="10">
        <v>0</v>
      </c>
      <c r="Y16" s="10">
        <v>1</v>
      </c>
      <c r="Z16" s="10">
        <v>1</v>
      </c>
      <c r="AA16" s="6">
        <v>3</v>
      </c>
      <c r="AB16" s="6">
        <v>1</v>
      </c>
      <c r="AC16" s="6">
        <v>3</v>
      </c>
      <c r="AD16" s="6">
        <v>7</v>
      </c>
      <c r="AE16" s="6">
        <v>2.5</v>
      </c>
      <c r="AF16" s="6">
        <v>1</v>
      </c>
      <c r="AG16" s="6">
        <v>3</v>
      </c>
      <c r="AH16" s="6">
        <v>2.1666666669999999</v>
      </c>
      <c r="AI16" s="6" t="s">
        <v>86</v>
      </c>
      <c r="AJ16" s="9" t="s">
        <v>379</v>
      </c>
      <c r="AK16">
        <v>15474</v>
      </c>
      <c r="AL16" s="33" t="s">
        <v>105</v>
      </c>
      <c r="AM16" t="s">
        <v>116</v>
      </c>
      <c r="AN16" t="s">
        <v>107</v>
      </c>
      <c r="AO16" t="s">
        <v>117</v>
      </c>
      <c r="AP16" t="s">
        <v>109</v>
      </c>
      <c r="AQ16">
        <v>16780</v>
      </c>
      <c r="AR16">
        <v>3833</v>
      </c>
      <c r="AS16">
        <v>3217</v>
      </c>
      <c r="AT16">
        <v>616</v>
      </c>
      <c r="AU16">
        <v>1115</v>
      </c>
      <c r="AV16">
        <v>62492</v>
      </c>
      <c r="AW16">
        <v>2842</v>
      </c>
      <c r="AX16">
        <v>16396</v>
      </c>
      <c r="AY16">
        <v>26</v>
      </c>
      <c r="AZ16">
        <v>23713</v>
      </c>
      <c r="BA16">
        <v>0.495</v>
      </c>
      <c r="BB16">
        <v>4.7</v>
      </c>
    </row>
    <row r="17" spans="1:54" x14ac:dyDescent="0.3">
      <c r="A17" s="6">
        <v>19</v>
      </c>
      <c r="B17" s="8">
        <v>16</v>
      </c>
      <c r="C17" s="7" t="str">
        <f t="shared" si="0"/>
        <v>19_16</v>
      </c>
      <c r="D17" s="8" t="s">
        <v>17</v>
      </c>
      <c r="E17" s="8" t="s">
        <v>86</v>
      </c>
      <c r="F17" s="8" t="s">
        <v>86</v>
      </c>
      <c r="G17" s="8" t="s">
        <v>86</v>
      </c>
      <c r="H17" s="6" t="s">
        <v>42</v>
      </c>
      <c r="I17" s="6" t="s">
        <v>86</v>
      </c>
      <c r="J17" s="6">
        <v>1</v>
      </c>
      <c r="K17" s="6">
        <v>1</v>
      </c>
      <c r="L17" s="6">
        <v>0</v>
      </c>
      <c r="M17" s="6">
        <v>1</v>
      </c>
      <c r="N17" s="6">
        <v>1</v>
      </c>
      <c r="O17" s="6">
        <v>0</v>
      </c>
      <c r="P17" s="6">
        <v>0</v>
      </c>
      <c r="Q17" s="6">
        <v>1</v>
      </c>
      <c r="R17" s="6">
        <v>1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1</v>
      </c>
      <c r="Z17" s="10">
        <v>1</v>
      </c>
      <c r="AA17" s="6">
        <v>3</v>
      </c>
      <c r="AB17" s="6">
        <v>2</v>
      </c>
      <c r="AC17" s="6">
        <v>2</v>
      </c>
      <c r="AD17" s="6">
        <v>7</v>
      </c>
      <c r="AE17" s="6">
        <v>2.5</v>
      </c>
      <c r="AF17" s="6">
        <v>2</v>
      </c>
      <c r="AG17" s="6">
        <v>2</v>
      </c>
      <c r="AH17" s="6">
        <v>2.1666666669999999</v>
      </c>
      <c r="AI17" s="6" t="s">
        <v>86</v>
      </c>
      <c r="AJ17" s="9" t="s">
        <v>380</v>
      </c>
      <c r="AK17">
        <v>15474</v>
      </c>
      <c r="AL17" s="33" t="s">
        <v>105</v>
      </c>
      <c r="AM17" t="s">
        <v>116</v>
      </c>
      <c r="AN17" t="s">
        <v>107</v>
      </c>
      <c r="AO17" t="s">
        <v>117</v>
      </c>
      <c r="AP17" t="s">
        <v>109</v>
      </c>
      <c r="AQ17">
        <v>16780</v>
      </c>
      <c r="AR17">
        <v>3833</v>
      </c>
      <c r="AS17">
        <v>3217</v>
      </c>
      <c r="AT17">
        <v>616</v>
      </c>
      <c r="AU17">
        <v>1115</v>
      </c>
      <c r="AV17">
        <v>62492</v>
      </c>
      <c r="AW17">
        <v>2842</v>
      </c>
      <c r="AX17">
        <v>16396</v>
      </c>
      <c r="AY17">
        <v>26</v>
      </c>
      <c r="AZ17">
        <v>23713</v>
      </c>
      <c r="BA17">
        <v>0.495</v>
      </c>
      <c r="BB17">
        <v>4.7</v>
      </c>
    </row>
    <row r="18" spans="1:54" x14ac:dyDescent="0.3">
      <c r="A18" s="6">
        <v>19</v>
      </c>
      <c r="B18" s="8">
        <v>17</v>
      </c>
      <c r="C18" s="7" t="str">
        <f t="shared" si="0"/>
        <v>19_17</v>
      </c>
      <c r="D18" s="8" t="s">
        <v>18</v>
      </c>
      <c r="E18" s="8" t="s">
        <v>86</v>
      </c>
      <c r="F18" s="8" t="s">
        <v>86</v>
      </c>
      <c r="G18" s="8" t="s">
        <v>86</v>
      </c>
      <c r="H18" s="6" t="s">
        <v>43</v>
      </c>
      <c r="I18" s="6" t="s">
        <v>86</v>
      </c>
      <c r="J18" s="6">
        <v>2</v>
      </c>
      <c r="K18" s="6">
        <v>1</v>
      </c>
      <c r="L18" s="6">
        <v>1</v>
      </c>
      <c r="M18" s="6">
        <v>0</v>
      </c>
      <c r="N18" s="6">
        <v>1</v>
      </c>
      <c r="O18" s="6">
        <v>1</v>
      </c>
      <c r="P18" s="6">
        <v>0</v>
      </c>
      <c r="Q18" s="6">
        <v>0</v>
      </c>
      <c r="R18" s="6">
        <v>0</v>
      </c>
      <c r="S18" s="6">
        <v>1</v>
      </c>
      <c r="T18" s="6">
        <v>0</v>
      </c>
      <c r="U18" s="6">
        <v>0</v>
      </c>
      <c r="V18" s="6">
        <v>0</v>
      </c>
      <c r="W18" s="6">
        <v>1</v>
      </c>
      <c r="X18" s="6">
        <v>0</v>
      </c>
      <c r="Y18" s="6">
        <v>0</v>
      </c>
      <c r="Z18" s="10">
        <v>1</v>
      </c>
      <c r="AA18" s="6">
        <v>4</v>
      </c>
      <c r="AB18" s="6">
        <v>1</v>
      </c>
      <c r="AC18" s="6">
        <v>2</v>
      </c>
      <c r="AD18" s="6">
        <v>7</v>
      </c>
      <c r="AE18" s="6">
        <v>3.3333333330000001</v>
      </c>
      <c r="AF18" s="6">
        <v>1</v>
      </c>
      <c r="AG18" s="6">
        <v>2</v>
      </c>
      <c r="AH18" s="6">
        <v>2.111111111</v>
      </c>
      <c r="AI18" s="6" t="s">
        <v>86</v>
      </c>
      <c r="AJ18" s="9" t="s">
        <v>381</v>
      </c>
      <c r="AK18">
        <v>15475</v>
      </c>
      <c r="AL18" s="33" t="s">
        <v>105</v>
      </c>
      <c r="AM18" t="s">
        <v>118</v>
      </c>
      <c r="AN18" t="s">
        <v>107</v>
      </c>
      <c r="AO18" t="s">
        <v>119</v>
      </c>
      <c r="AP18" t="s">
        <v>109</v>
      </c>
      <c r="AQ18">
        <v>13570</v>
      </c>
      <c r="AR18">
        <v>3232</v>
      </c>
      <c r="AS18">
        <v>2571</v>
      </c>
      <c r="AT18">
        <v>661</v>
      </c>
      <c r="AU18">
        <v>1003</v>
      </c>
      <c r="AV18">
        <v>69654</v>
      </c>
      <c r="AW18">
        <v>2843</v>
      </c>
      <c r="AX18">
        <v>13743</v>
      </c>
      <c r="AY18">
        <v>20</v>
      </c>
      <c r="AZ18">
        <v>23713</v>
      </c>
      <c r="BA18">
        <v>0.495</v>
      </c>
      <c r="BB18">
        <v>4.7</v>
      </c>
    </row>
    <row r="19" spans="1:54" x14ac:dyDescent="0.3">
      <c r="A19" s="6">
        <v>19</v>
      </c>
      <c r="B19" s="8">
        <v>18</v>
      </c>
      <c r="C19" s="7" t="str">
        <f t="shared" si="0"/>
        <v>19_18</v>
      </c>
      <c r="D19" s="8" t="s">
        <v>19</v>
      </c>
      <c r="E19" s="8" t="s">
        <v>86</v>
      </c>
      <c r="F19" s="8" t="s">
        <v>86</v>
      </c>
      <c r="G19" s="8" t="s">
        <v>86</v>
      </c>
      <c r="H19" s="6" t="s">
        <v>39</v>
      </c>
      <c r="I19" s="6" t="s">
        <v>86</v>
      </c>
      <c r="J19" s="6">
        <v>1</v>
      </c>
      <c r="K19" s="6">
        <v>1</v>
      </c>
      <c r="L19" s="6">
        <v>1</v>
      </c>
      <c r="M19" s="6">
        <v>1</v>
      </c>
      <c r="N19" s="6">
        <v>0</v>
      </c>
      <c r="O19" s="6">
        <v>0</v>
      </c>
      <c r="P19" s="6">
        <v>0</v>
      </c>
      <c r="Q19" s="6">
        <v>0</v>
      </c>
      <c r="R19" s="6">
        <v>1</v>
      </c>
      <c r="S19" s="6">
        <v>0</v>
      </c>
      <c r="T19" s="6">
        <v>0</v>
      </c>
      <c r="U19" s="6">
        <v>0</v>
      </c>
      <c r="V19" s="6">
        <v>0</v>
      </c>
      <c r="W19" s="6">
        <v>1</v>
      </c>
      <c r="X19" s="6">
        <v>0</v>
      </c>
      <c r="Y19" s="6">
        <v>1</v>
      </c>
      <c r="Z19" s="10">
        <v>0</v>
      </c>
      <c r="AA19" s="6">
        <v>3</v>
      </c>
      <c r="AB19" s="6">
        <v>1</v>
      </c>
      <c r="AC19" s="6">
        <v>2</v>
      </c>
      <c r="AD19" s="6">
        <v>6</v>
      </c>
      <c r="AE19" s="6">
        <v>2.5</v>
      </c>
      <c r="AF19" s="6">
        <v>1</v>
      </c>
      <c r="AG19" s="6">
        <v>2</v>
      </c>
      <c r="AH19" s="6">
        <v>1.8333333329999999</v>
      </c>
      <c r="AI19" s="6" t="s">
        <v>86</v>
      </c>
      <c r="AJ19" s="9" t="s">
        <v>382</v>
      </c>
      <c r="AK19">
        <v>15475</v>
      </c>
      <c r="AL19" s="33" t="s">
        <v>105</v>
      </c>
      <c r="AM19" t="s">
        <v>118</v>
      </c>
      <c r="AN19" t="s">
        <v>107</v>
      </c>
      <c r="AO19" t="s">
        <v>119</v>
      </c>
      <c r="AP19" t="s">
        <v>109</v>
      </c>
      <c r="AQ19">
        <v>13570</v>
      </c>
      <c r="AR19">
        <v>3232</v>
      </c>
      <c r="AS19">
        <v>2571</v>
      </c>
      <c r="AT19">
        <v>661</v>
      </c>
      <c r="AU19">
        <v>1003</v>
      </c>
      <c r="AV19">
        <v>69654</v>
      </c>
      <c r="AW19">
        <v>2843</v>
      </c>
      <c r="AX19">
        <v>13743</v>
      </c>
      <c r="AY19">
        <v>20</v>
      </c>
      <c r="AZ19">
        <v>23713</v>
      </c>
      <c r="BA19">
        <v>0.495</v>
      </c>
      <c r="BB19">
        <v>4.7</v>
      </c>
    </row>
    <row r="20" spans="1:54" x14ac:dyDescent="0.3">
      <c r="A20" s="6">
        <v>19</v>
      </c>
      <c r="B20" s="8">
        <v>19</v>
      </c>
      <c r="C20" s="7" t="str">
        <f t="shared" si="0"/>
        <v>19_19</v>
      </c>
      <c r="D20" s="8" t="s">
        <v>20</v>
      </c>
      <c r="E20" s="8" t="s">
        <v>86</v>
      </c>
      <c r="F20" s="8" t="s">
        <v>86</v>
      </c>
      <c r="G20" s="8" t="s">
        <v>86</v>
      </c>
      <c r="H20" s="6" t="s">
        <v>43</v>
      </c>
      <c r="I20" s="6" t="s">
        <v>86</v>
      </c>
      <c r="J20" s="6">
        <v>2</v>
      </c>
      <c r="K20" s="6">
        <v>1</v>
      </c>
      <c r="L20" s="6">
        <v>1</v>
      </c>
      <c r="M20" s="6">
        <v>0</v>
      </c>
      <c r="N20" s="6">
        <v>1</v>
      </c>
      <c r="O20" s="6">
        <v>0</v>
      </c>
      <c r="P20" s="6">
        <v>0</v>
      </c>
      <c r="Q20" s="6">
        <v>1</v>
      </c>
      <c r="R20" s="6">
        <v>1</v>
      </c>
      <c r="S20" s="6">
        <v>0</v>
      </c>
      <c r="T20" s="6">
        <v>0</v>
      </c>
      <c r="U20" s="6">
        <v>0</v>
      </c>
      <c r="V20" s="6">
        <v>0</v>
      </c>
      <c r="W20" s="6">
        <v>1</v>
      </c>
      <c r="X20" s="6">
        <v>0</v>
      </c>
      <c r="Y20" s="6">
        <v>1</v>
      </c>
      <c r="Z20" s="10">
        <v>1</v>
      </c>
      <c r="AA20" s="6">
        <v>3</v>
      </c>
      <c r="AB20" s="6">
        <v>2</v>
      </c>
      <c r="AC20" s="6">
        <v>3</v>
      </c>
      <c r="AD20" s="6">
        <v>8</v>
      </c>
      <c r="AE20" s="6">
        <v>2.5</v>
      </c>
      <c r="AF20" s="6">
        <v>2</v>
      </c>
      <c r="AG20" s="6">
        <v>3</v>
      </c>
      <c r="AH20" s="6">
        <v>2.5</v>
      </c>
      <c r="AI20" s="6" t="s">
        <v>86</v>
      </c>
      <c r="AJ20" s="9" t="s">
        <v>383</v>
      </c>
      <c r="AK20">
        <v>15474</v>
      </c>
      <c r="AL20" s="33" t="s">
        <v>105</v>
      </c>
      <c r="AM20" t="s">
        <v>116</v>
      </c>
      <c r="AN20" t="s">
        <v>107</v>
      </c>
      <c r="AO20" t="s">
        <v>117</v>
      </c>
      <c r="AP20" t="s">
        <v>109</v>
      </c>
      <c r="AQ20">
        <v>16780</v>
      </c>
      <c r="AR20">
        <v>3833</v>
      </c>
      <c r="AS20">
        <v>3217</v>
      </c>
      <c r="AT20">
        <v>616</v>
      </c>
      <c r="AU20">
        <v>1115</v>
      </c>
      <c r="AV20">
        <v>62492</v>
      </c>
      <c r="AW20">
        <v>2842</v>
      </c>
      <c r="AX20">
        <v>16396</v>
      </c>
      <c r="AY20">
        <v>26</v>
      </c>
      <c r="AZ20">
        <v>23713</v>
      </c>
      <c r="BA20">
        <v>0.495</v>
      </c>
      <c r="BB20">
        <v>4.7</v>
      </c>
    </row>
    <row r="21" spans="1:54" x14ac:dyDescent="0.3">
      <c r="A21" s="6">
        <v>19</v>
      </c>
      <c r="B21" s="8">
        <v>20</v>
      </c>
      <c r="C21" s="7" t="str">
        <f t="shared" si="0"/>
        <v>19_20</v>
      </c>
      <c r="D21" s="8" t="s">
        <v>21</v>
      </c>
      <c r="E21" s="8">
        <v>1</v>
      </c>
      <c r="F21" s="8">
        <v>0</v>
      </c>
      <c r="G21" s="8">
        <v>2</v>
      </c>
      <c r="H21" s="6" t="s">
        <v>42</v>
      </c>
      <c r="I21" s="6" t="s">
        <v>86</v>
      </c>
      <c r="J21" s="6">
        <v>2</v>
      </c>
      <c r="K21" s="6">
        <v>0</v>
      </c>
      <c r="L21" s="6">
        <v>1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10">
        <v>1</v>
      </c>
      <c r="AA21" s="6">
        <v>2</v>
      </c>
      <c r="AB21" s="6">
        <v>0</v>
      </c>
      <c r="AC21" s="6">
        <v>1</v>
      </c>
      <c r="AD21" s="6">
        <v>3</v>
      </c>
      <c r="AE21" s="6">
        <v>1.6666666670000001</v>
      </c>
      <c r="AF21" s="6">
        <v>0</v>
      </c>
      <c r="AG21" s="6">
        <v>1</v>
      </c>
      <c r="AH21" s="6">
        <v>0.88888888899999996</v>
      </c>
      <c r="AI21" s="6" t="s">
        <v>86</v>
      </c>
      <c r="AJ21" s="9" t="s">
        <v>368</v>
      </c>
      <c r="AK21">
        <v>15477</v>
      </c>
      <c r="AL21" s="33" t="s">
        <v>105</v>
      </c>
      <c r="AM21" t="s">
        <v>120</v>
      </c>
      <c r="AN21" t="s">
        <v>107</v>
      </c>
      <c r="AO21" t="s">
        <v>121</v>
      </c>
      <c r="AP21" t="s">
        <v>109</v>
      </c>
      <c r="AQ21">
        <v>25490</v>
      </c>
      <c r="AR21">
        <v>3347</v>
      </c>
      <c r="AS21">
        <v>2948</v>
      </c>
      <c r="AT21">
        <v>399</v>
      </c>
      <c r="AU21">
        <v>770</v>
      </c>
      <c r="AV21">
        <v>85726</v>
      </c>
      <c r="AW21">
        <v>2845</v>
      </c>
      <c r="AX21">
        <v>23033</v>
      </c>
      <c r="AY21">
        <v>27</v>
      </c>
      <c r="AZ21">
        <v>23713</v>
      </c>
      <c r="BA21">
        <v>0.495</v>
      </c>
      <c r="BB21">
        <v>4.7</v>
      </c>
    </row>
    <row r="22" spans="1:54" x14ac:dyDescent="0.3">
      <c r="A22" s="6">
        <v>19</v>
      </c>
      <c r="B22" s="8">
        <v>21</v>
      </c>
      <c r="C22" s="7" t="str">
        <f t="shared" si="0"/>
        <v>19_21</v>
      </c>
      <c r="D22" s="8" t="s">
        <v>22</v>
      </c>
      <c r="E22" s="8">
        <v>1</v>
      </c>
      <c r="F22" s="8">
        <v>0</v>
      </c>
      <c r="G22" s="8">
        <v>2</v>
      </c>
      <c r="H22" s="6" t="s">
        <v>44</v>
      </c>
      <c r="I22" s="6" t="s">
        <v>86</v>
      </c>
      <c r="J22" s="6">
        <v>4</v>
      </c>
      <c r="K22" s="6">
        <v>1</v>
      </c>
      <c r="L22" s="6">
        <v>1</v>
      </c>
      <c r="M22" s="6">
        <v>1</v>
      </c>
      <c r="N22" s="6">
        <v>0</v>
      </c>
      <c r="O22" s="6">
        <v>1</v>
      </c>
      <c r="P22" s="6">
        <v>1</v>
      </c>
      <c r="Q22" s="6">
        <v>0</v>
      </c>
      <c r="R22" s="6">
        <v>1</v>
      </c>
      <c r="S22" s="6">
        <v>1</v>
      </c>
      <c r="T22" s="6">
        <v>1</v>
      </c>
      <c r="U22" s="6">
        <v>0</v>
      </c>
      <c r="V22" s="6">
        <v>1</v>
      </c>
      <c r="W22" s="6">
        <v>1</v>
      </c>
      <c r="X22" s="6">
        <v>1</v>
      </c>
      <c r="Y22" s="6">
        <v>1</v>
      </c>
      <c r="Z22" s="10">
        <v>0</v>
      </c>
      <c r="AA22" s="6">
        <v>5</v>
      </c>
      <c r="AB22" s="6">
        <v>3</v>
      </c>
      <c r="AC22" s="6">
        <v>4</v>
      </c>
      <c r="AD22" s="6">
        <v>12</v>
      </c>
      <c r="AE22" s="6">
        <v>4.1666666670000003</v>
      </c>
      <c r="AF22" s="6">
        <v>3</v>
      </c>
      <c r="AG22" s="6">
        <v>4</v>
      </c>
      <c r="AH22" s="6">
        <v>3.7222222220000001</v>
      </c>
      <c r="AI22" s="6" t="s">
        <v>86</v>
      </c>
      <c r="AJ22" s="9">
        <v>0</v>
      </c>
      <c r="AK22">
        <v>806</v>
      </c>
      <c r="AL22" s="33" t="s">
        <v>105</v>
      </c>
      <c r="AM22" t="s">
        <v>122</v>
      </c>
      <c r="AN22" t="s">
        <v>107</v>
      </c>
      <c r="AO22" t="s">
        <v>123</v>
      </c>
      <c r="AP22" t="s">
        <v>124</v>
      </c>
      <c r="AQ22">
        <v>19500</v>
      </c>
      <c r="AR22">
        <v>2513</v>
      </c>
      <c r="AS22">
        <v>2083</v>
      </c>
      <c r="AT22">
        <v>430</v>
      </c>
      <c r="AU22">
        <v>584</v>
      </c>
      <c r="AV22">
        <v>284463</v>
      </c>
      <c r="AW22">
        <v>119</v>
      </c>
      <c r="AX22">
        <v>32393</v>
      </c>
      <c r="AY22">
        <v>11</v>
      </c>
      <c r="AZ22">
        <v>23713</v>
      </c>
      <c r="BA22">
        <v>0.495</v>
      </c>
      <c r="BB22">
        <v>4.7</v>
      </c>
    </row>
    <row r="23" spans="1:54" x14ac:dyDescent="0.3">
      <c r="A23" s="6">
        <v>19</v>
      </c>
      <c r="B23" s="8">
        <v>22</v>
      </c>
      <c r="C23" s="7" t="str">
        <f t="shared" si="0"/>
        <v>19_22</v>
      </c>
      <c r="D23" s="8" t="s">
        <v>23</v>
      </c>
      <c r="E23" s="8">
        <v>1</v>
      </c>
      <c r="F23" s="8">
        <v>1</v>
      </c>
      <c r="G23" s="8">
        <v>1</v>
      </c>
      <c r="H23" s="6" t="s">
        <v>43</v>
      </c>
      <c r="I23" s="6" t="s">
        <v>86</v>
      </c>
      <c r="J23" s="6">
        <v>3</v>
      </c>
      <c r="K23" s="6">
        <v>1</v>
      </c>
      <c r="L23" s="6">
        <v>1</v>
      </c>
      <c r="M23" s="6">
        <v>0</v>
      </c>
      <c r="N23" s="6">
        <v>1</v>
      </c>
      <c r="O23" s="6">
        <v>1</v>
      </c>
      <c r="P23" s="6">
        <v>0</v>
      </c>
      <c r="Q23" s="6">
        <v>0</v>
      </c>
      <c r="R23" s="6">
        <v>1</v>
      </c>
      <c r="S23" s="6">
        <v>1</v>
      </c>
      <c r="T23" s="6">
        <v>0</v>
      </c>
      <c r="U23" s="6">
        <v>0</v>
      </c>
      <c r="V23" s="6">
        <v>0</v>
      </c>
      <c r="W23" s="6">
        <v>1</v>
      </c>
      <c r="X23" s="6">
        <v>0</v>
      </c>
      <c r="Y23" s="6">
        <v>0</v>
      </c>
      <c r="Z23" s="10">
        <v>1</v>
      </c>
      <c r="AA23" s="6">
        <v>4</v>
      </c>
      <c r="AB23" s="6">
        <v>2</v>
      </c>
      <c r="AC23" s="6">
        <v>2</v>
      </c>
      <c r="AD23" s="6">
        <v>8</v>
      </c>
      <c r="AE23" s="6">
        <v>3.3333333330000001</v>
      </c>
      <c r="AF23" s="6">
        <v>2</v>
      </c>
      <c r="AG23" s="6">
        <v>2</v>
      </c>
      <c r="AH23" s="6">
        <v>2.4444444440000002</v>
      </c>
      <c r="AI23" s="6" t="s">
        <v>86</v>
      </c>
      <c r="AJ23" s="9">
        <v>1</v>
      </c>
      <c r="AK23">
        <v>15482</v>
      </c>
      <c r="AL23" s="33" t="s">
        <v>105</v>
      </c>
      <c r="AM23" t="s">
        <v>106</v>
      </c>
      <c r="AN23" t="s">
        <v>107</v>
      </c>
      <c r="AO23" t="s">
        <v>108</v>
      </c>
      <c r="AP23" t="s">
        <v>109</v>
      </c>
      <c r="AQ23">
        <v>30940</v>
      </c>
      <c r="AR23">
        <v>2522</v>
      </c>
      <c r="AS23">
        <v>2174</v>
      </c>
      <c r="AT23">
        <v>348</v>
      </c>
      <c r="AU23">
        <v>445</v>
      </c>
      <c r="AV23">
        <v>62599</v>
      </c>
      <c r="AW23">
        <v>2850</v>
      </c>
      <c r="AX23">
        <v>11777</v>
      </c>
      <c r="AY23">
        <v>19</v>
      </c>
      <c r="AZ23">
        <v>23713</v>
      </c>
      <c r="BA23">
        <v>0.495</v>
      </c>
      <c r="BB23">
        <v>4.7</v>
      </c>
    </row>
    <row r="24" spans="1:54" x14ac:dyDescent="0.3">
      <c r="A24" s="6">
        <v>19</v>
      </c>
      <c r="B24" s="8">
        <v>23</v>
      </c>
      <c r="C24" s="7" t="str">
        <f t="shared" si="0"/>
        <v>19_23</v>
      </c>
      <c r="D24" s="8" t="s">
        <v>24</v>
      </c>
      <c r="E24" s="8">
        <v>0</v>
      </c>
      <c r="F24" s="8">
        <v>0</v>
      </c>
      <c r="G24" s="8">
        <v>1</v>
      </c>
      <c r="H24" s="6" t="s">
        <v>42</v>
      </c>
      <c r="I24" s="6" t="s">
        <v>86</v>
      </c>
      <c r="J24" s="6">
        <v>0</v>
      </c>
      <c r="K24" s="6">
        <v>1</v>
      </c>
      <c r="L24" s="6">
        <v>0</v>
      </c>
      <c r="M24" s="6">
        <v>0</v>
      </c>
      <c r="N24" s="6">
        <v>1</v>
      </c>
      <c r="O24" s="6">
        <v>0</v>
      </c>
      <c r="P24" s="6">
        <v>0</v>
      </c>
      <c r="Q24" s="6">
        <v>0</v>
      </c>
      <c r="R24" s="6">
        <v>1</v>
      </c>
      <c r="S24" s="6">
        <v>1</v>
      </c>
      <c r="T24" s="6">
        <v>0</v>
      </c>
      <c r="U24" s="6">
        <v>0</v>
      </c>
      <c r="V24" s="6">
        <v>0</v>
      </c>
      <c r="W24" s="6">
        <v>1</v>
      </c>
      <c r="X24" s="6">
        <v>0</v>
      </c>
      <c r="Y24" s="6">
        <v>1</v>
      </c>
      <c r="Z24" s="10">
        <v>1</v>
      </c>
      <c r="AA24" s="6">
        <v>2</v>
      </c>
      <c r="AB24" s="6">
        <v>2</v>
      </c>
      <c r="AC24" s="6">
        <v>3</v>
      </c>
      <c r="AD24" s="6">
        <v>7</v>
      </c>
      <c r="AE24" s="6">
        <v>1.6666666670000001</v>
      </c>
      <c r="AF24" s="6">
        <v>2</v>
      </c>
      <c r="AG24" s="6">
        <v>3</v>
      </c>
      <c r="AH24" s="6">
        <v>2.2222222220000001</v>
      </c>
      <c r="AI24" s="6" t="s">
        <v>86</v>
      </c>
      <c r="AJ24" s="9">
        <v>2</v>
      </c>
      <c r="AK24">
        <v>15443</v>
      </c>
      <c r="AL24" s="33" t="s">
        <v>105</v>
      </c>
      <c r="AM24" t="s">
        <v>125</v>
      </c>
      <c r="AN24" t="s">
        <v>107</v>
      </c>
      <c r="AO24" t="s">
        <v>126</v>
      </c>
      <c r="AP24" t="s">
        <v>109</v>
      </c>
      <c r="AQ24">
        <v>19180</v>
      </c>
      <c r="AR24">
        <v>2571</v>
      </c>
      <c r="AS24">
        <v>2034</v>
      </c>
      <c r="AT24">
        <v>538</v>
      </c>
      <c r="AU24">
        <v>755</v>
      </c>
      <c r="AV24">
        <v>89612</v>
      </c>
      <c r="AW24">
        <v>2811</v>
      </c>
      <c r="AX24">
        <v>13224</v>
      </c>
      <c r="AY24">
        <v>15</v>
      </c>
      <c r="AZ24">
        <v>23713</v>
      </c>
      <c r="BA24">
        <v>0.495</v>
      </c>
      <c r="BB24">
        <v>4.7</v>
      </c>
    </row>
    <row r="25" spans="1:54" x14ac:dyDescent="0.3">
      <c r="A25" s="6">
        <v>19</v>
      </c>
      <c r="B25" s="8">
        <v>24</v>
      </c>
      <c r="C25" s="7" t="str">
        <f t="shared" si="0"/>
        <v>19_24</v>
      </c>
      <c r="D25" s="8" t="s">
        <v>25</v>
      </c>
      <c r="E25" s="8">
        <v>1</v>
      </c>
      <c r="F25" s="8">
        <v>0</v>
      </c>
      <c r="G25" s="8">
        <v>2</v>
      </c>
      <c r="H25" s="6" t="s">
        <v>39</v>
      </c>
      <c r="I25" s="6" t="s">
        <v>86</v>
      </c>
      <c r="J25" s="6">
        <v>3</v>
      </c>
      <c r="K25" s="6">
        <v>1</v>
      </c>
      <c r="L25" s="6">
        <v>1</v>
      </c>
      <c r="M25" s="6">
        <v>0</v>
      </c>
      <c r="N25" s="6">
        <v>1</v>
      </c>
      <c r="O25" s="6">
        <v>1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</v>
      </c>
      <c r="W25" s="6">
        <v>0</v>
      </c>
      <c r="X25" s="6">
        <v>0</v>
      </c>
      <c r="Y25" s="6">
        <v>0</v>
      </c>
      <c r="Z25" s="10">
        <v>0</v>
      </c>
      <c r="AA25" s="6">
        <v>4</v>
      </c>
      <c r="AB25" s="6">
        <v>0</v>
      </c>
      <c r="AC25" s="6">
        <v>1</v>
      </c>
      <c r="AD25" s="6">
        <v>5</v>
      </c>
      <c r="AE25" s="6">
        <v>3.3333333330000001</v>
      </c>
      <c r="AF25" s="6">
        <v>0</v>
      </c>
      <c r="AG25" s="6">
        <v>1</v>
      </c>
      <c r="AH25" s="6">
        <v>1.4444444439999999</v>
      </c>
      <c r="AI25" s="6" t="s">
        <v>86</v>
      </c>
      <c r="AJ25" s="9">
        <v>3</v>
      </c>
      <c r="AK25">
        <v>15466</v>
      </c>
      <c r="AL25" s="33" t="s">
        <v>105</v>
      </c>
      <c r="AM25" t="s">
        <v>127</v>
      </c>
      <c r="AN25" t="s">
        <v>107</v>
      </c>
      <c r="AO25" t="s">
        <v>128</v>
      </c>
      <c r="AP25" t="s">
        <v>109</v>
      </c>
      <c r="AQ25">
        <v>15630</v>
      </c>
      <c r="AR25">
        <v>1987</v>
      </c>
      <c r="AS25">
        <v>1684</v>
      </c>
      <c r="AT25">
        <v>303</v>
      </c>
      <c r="AU25">
        <v>556</v>
      </c>
      <c r="AV25">
        <v>30098</v>
      </c>
      <c r="AW25">
        <v>2834</v>
      </c>
      <c r="AX25">
        <v>8553</v>
      </c>
      <c r="AY25">
        <v>28</v>
      </c>
      <c r="AZ25">
        <v>23713</v>
      </c>
      <c r="BA25">
        <v>0.495</v>
      </c>
      <c r="BB25">
        <v>4.7</v>
      </c>
    </row>
    <row r="26" spans="1:54" x14ac:dyDescent="0.3">
      <c r="A26" s="6">
        <v>19</v>
      </c>
      <c r="B26" s="8">
        <v>25</v>
      </c>
      <c r="C26" s="7" t="str">
        <f t="shared" si="0"/>
        <v>19_25</v>
      </c>
      <c r="D26" s="8" t="s">
        <v>26</v>
      </c>
      <c r="E26" s="8">
        <v>1</v>
      </c>
      <c r="F26" s="8">
        <v>0</v>
      </c>
      <c r="G26" s="8">
        <v>2</v>
      </c>
      <c r="H26" s="6" t="s">
        <v>44</v>
      </c>
      <c r="I26" s="6" t="s">
        <v>86</v>
      </c>
      <c r="J26" s="6">
        <v>4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0</v>
      </c>
      <c r="U26" s="6">
        <v>0</v>
      </c>
      <c r="V26" s="6">
        <v>1</v>
      </c>
      <c r="W26" s="6">
        <v>1</v>
      </c>
      <c r="X26" s="6">
        <v>0</v>
      </c>
      <c r="Y26" s="6">
        <v>1</v>
      </c>
      <c r="Z26" s="10">
        <v>0</v>
      </c>
      <c r="AA26" s="6">
        <v>6</v>
      </c>
      <c r="AB26" s="6">
        <v>3</v>
      </c>
      <c r="AC26" s="6">
        <v>3</v>
      </c>
      <c r="AD26" s="6">
        <v>12</v>
      </c>
      <c r="AE26" s="6">
        <v>5</v>
      </c>
      <c r="AF26" s="6">
        <v>3</v>
      </c>
      <c r="AG26" s="6">
        <v>3</v>
      </c>
      <c r="AH26" s="6">
        <v>3.6666666669999999</v>
      </c>
      <c r="AI26" s="6" t="s">
        <v>45</v>
      </c>
      <c r="AJ26" s="9">
        <v>4</v>
      </c>
      <c r="AK26">
        <v>15447</v>
      </c>
      <c r="AL26" s="33" t="s">
        <v>105</v>
      </c>
      <c r="AM26" t="s">
        <v>129</v>
      </c>
      <c r="AN26" t="s">
        <v>130</v>
      </c>
      <c r="AO26" t="s">
        <v>131</v>
      </c>
      <c r="AP26" t="s">
        <v>109</v>
      </c>
      <c r="AQ26">
        <v>17190</v>
      </c>
      <c r="AR26">
        <v>1796</v>
      </c>
      <c r="AS26">
        <v>1053</v>
      </c>
      <c r="AT26">
        <v>743</v>
      </c>
      <c r="AU26">
        <v>868</v>
      </c>
      <c r="AV26">
        <v>609007</v>
      </c>
      <c r="AW26">
        <v>2815</v>
      </c>
      <c r="AX26">
        <v>92970</v>
      </c>
      <c r="AY26">
        <v>15</v>
      </c>
      <c r="AZ26">
        <v>23713</v>
      </c>
      <c r="BA26">
        <v>0.495</v>
      </c>
      <c r="BB26">
        <v>4.7</v>
      </c>
    </row>
    <row r="27" spans="1:54" x14ac:dyDescent="0.3">
      <c r="A27" s="6">
        <v>19</v>
      </c>
      <c r="B27" s="8">
        <v>26</v>
      </c>
      <c r="C27" s="7" t="str">
        <f t="shared" si="0"/>
        <v>19_26</v>
      </c>
      <c r="D27" s="8" t="s">
        <v>27</v>
      </c>
      <c r="E27" s="8">
        <v>1</v>
      </c>
      <c r="F27" s="8">
        <v>0</v>
      </c>
      <c r="G27" s="8">
        <v>2</v>
      </c>
      <c r="H27" s="6" t="s">
        <v>44</v>
      </c>
      <c r="I27" s="6" t="s">
        <v>86</v>
      </c>
      <c r="J27" s="6">
        <v>2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10">
        <v>1</v>
      </c>
      <c r="AA27" s="6">
        <v>5</v>
      </c>
      <c r="AB27" s="6">
        <v>0</v>
      </c>
      <c r="AC27" s="6">
        <v>1</v>
      </c>
      <c r="AD27" s="6">
        <v>6</v>
      </c>
      <c r="AE27" s="6">
        <v>4.1666666670000003</v>
      </c>
      <c r="AF27" s="6">
        <v>0</v>
      </c>
      <c r="AG27" s="6">
        <v>1</v>
      </c>
      <c r="AH27" s="6">
        <v>1.7222222220000001</v>
      </c>
      <c r="AI27" s="6" t="s">
        <v>86</v>
      </c>
      <c r="AJ27" s="9">
        <v>5</v>
      </c>
      <c r="AK27">
        <v>15470</v>
      </c>
      <c r="AL27" s="33" t="s">
        <v>105</v>
      </c>
      <c r="AM27" t="s">
        <v>132</v>
      </c>
      <c r="AN27" t="s">
        <v>107</v>
      </c>
      <c r="AO27" t="s">
        <v>133</v>
      </c>
      <c r="AP27" t="s">
        <v>109</v>
      </c>
      <c r="AQ27">
        <v>16960</v>
      </c>
      <c r="AR27">
        <v>2428</v>
      </c>
      <c r="AS27">
        <v>1949</v>
      </c>
      <c r="AT27">
        <v>479</v>
      </c>
      <c r="AU27">
        <v>720</v>
      </c>
      <c r="AV27">
        <v>113355</v>
      </c>
      <c r="AW27">
        <v>2838</v>
      </c>
      <c r="AX27">
        <v>55371</v>
      </c>
      <c r="AY27">
        <v>49</v>
      </c>
      <c r="AZ27">
        <v>23713</v>
      </c>
      <c r="BA27">
        <v>0.495</v>
      </c>
      <c r="BB27">
        <v>4.7</v>
      </c>
    </row>
    <row r="28" spans="1:54" x14ac:dyDescent="0.3">
      <c r="A28" s="6">
        <v>19</v>
      </c>
      <c r="B28" s="8">
        <v>27</v>
      </c>
      <c r="C28" s="7" t="str">
        <f t="shared" si="0"/>
        <v>19_27</v>
      </c>
      <c r="D28" s="8" t="s">
        <v>28</v>
      </c>
      <c r="E28" s="8">
        <v>0</v>
      </c>
      <c r="F28" s="8">
        <v>0</v>
      </c>
      <c r="G28" s="8">
        <v>1</v>
      </c>
      <c r="H28" s="6" t="s">
        <v>44</v>
      </c>
      <c r="I28" s="6" t="s">
        <v>86</v>
      </c>
      <c r="J28" s="6">
        <v>0</v>
      </c>
      <c r="K28" s="6">
        <v>1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  <c r="U28" s="6">
        <v>0</v>
      </c>
      <c r="V28" s="6">
        <v>0</v>
      </c>
      <c r="W28" s="6">
        <v>1</v>
      </c>
      <c r="X28" s="6">
        <v>0</v>
      </c>
      <c r="Y28" s="6">
        <v>1</v>
      </c>
      <c r="Z28" s="10">
        <v>0</v>
      </c>
      <c r="AA28" s="6">
        <v>1</v>
      </c>
      <c r="AB28" s="6">
        <v>1</v>
      </c>
      <c r="AC28" s="6">
        <v>2</v>
      </c>
      <c r="AD28" s="6">
        <v>4</v>
      </c>
      <c r="AE28" s="6">
        <v>0.83333333300000001</v>
      </c>
      <c r="AF28" s="6">
        <v>1</v>
      </c>
      <c r="AG28" s="6">
        <v>2</v>
      </c>
      <c r="AH28" s="6">
        <v>1.2777777779999999</v>
      </c>
      <c r="AI28" s="6" t="s">
        <v>46</v>
      </c>
      <c r="AJ28" s="9">
        <v>7</v>
      </c>
      <c r="AK28">
        <v>15447</v>
      </c>
      <c r="AL28" s="33" t="s">
        <v>105</v>
      </c>
      <c r="AM28" t="s">
        <v>129</v>
      </c>
      <c r="AN28" t="s">
        <v>130</v>
      </c>
      <c r="AO28" t="s">
        <v>131</v>
      </c>
      <c r="AP28" t="s">
        <v>109</v>
      </c>
      <c r="AQ28">
        <v>17190</v>
      </c>
      <c r="AR28">
        <v>1796</v>
      </c>
      <c r="AS28">
        <v>1053</v>
      </c>
      <c r="AT28">
        <v>743</v>
      </c>
      <c r="AU28">
        <v>868</v>
      </c>
      <c r="AV28">
        <v>609007</v>
      </c>
      <c r="AW28">
        <v>2815</v>
      </c>
      <c r="AX28">
        <v>92970</v>
      </c>
      <c r="AY28">
        <v>15</v>
      </c>
      <c r="AZ28">
        <v>23713</v>
      </c>
      <c r="BA28">
        <v>0.495</v>
      </c>
      <c r="BB28">
        <v>4.7</v>
      </c>
    </row>
    <row r="29" spans="1:54" x14ac:dyDescent="0.3">
      <c r="A29" s="6">
        <v>19</v>
      </c>
      <c r="B29" s="8">
        <v>28</v>
      </c>
      <c r="C29" s="7" t="str">
        <f t="shared" si="0"/>
        <v>19_28</v>
      </c>
      <c r="D29" s="8" t="s">
        <v>29</v>
      </c>
      <c r="E29" s="8">
        <v>1</v>
      </c>
      <c r="F29" s="8">
        <v>0</v>
      </c>
      <c r="G29" s="8">
        <v>2</v>
      </c>
      <c r="H29" s="6" t="s">
        <v>44</v>
      </c>
      <c r="I29" s="6" t="s">
        <v>86</v>
      </c>
      <c r="J29" s="6">
        <v>3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0</v>
      </c>
      <c r="R29" s="6">
        <v>0</v>
      </c>
      <c r="S29" s="6">
        <v>1</v>
      </c>
      <c r="T29" s="6">
        <v>0</v>
      </c>
      <c r="U29" s="6">
        <v>1</v>
      </c>
      <c r="V29" s="6">
        <v>1</v>
      </c>
      <c r="W29" s="6">
        <v>1</v>
      </c>
      <c r="X29" s="6">
        <v>0</v>
      </c>
      <c r="Y29" s="6">
        <v>0</v>
      </c>
      <c r="Z29" s="10">
        <v>0</v>
      </c>
      <c r="AA29" s="6">
        <v>6</v>
      </c>
      <c r="AB29" s="6">
        <v>2</v>
      </c>
      <c r="AC29" s="6">
        <v>2</v>
      </c>
      <c r="AD29" s="6">
        <v>10</v>
      </c>
      <c r="AE29" s="6">
        <v>5</v>
      </c>
      <c r="AF29" s="6">
        <v>2</v>
      </c>
      <c r="AG29" s="6">
        <v>2</v>
      </c>
      <c r="AH29" s="6">
        <v>3</v>
      </c>
      <c r="AI29" s="6" t="s">
        <v>47</v>
      </c>
      <c r="AJ29" s="9">
        <v>8</v>
      </c>
      <c r="AK29">
        <v>15489</v>
      </c>
      <c r="AL29" s="33" t="s">
        <v>105</v>
      </c>
      <c r="AM29" t="s">
        <v>134</v>
      </c>
      <c r="AN29" t="s">
        <v>107</v>
      </c>
      <c r="AO29" t="s">
        <v>135</v>
      </c>
      <c r="AP29" t="s">
        <v>109</v>
      </c>
      <c r="AQ29">
        <v>24460</v>
      </c>
      <c r="AR29">
        <v>2872</v>
      </c>
      <c r="AS29">
        <v>2461</v>
      </c>
      <c r="AT29">
        <v>411</v>
      </c>
      <c r="AU29">
        <v>728</v>
      </c>
      <c r="AV29">
        <v>64132</v>
      </c>
      <c r="AW29">
        <v>2857</v>
      </c>
      <c r="AX29">
        <v>18914</v>
      </c>
      <c r="AY29">
        <v>29</v>
      </c>
      <c r="AZ29">
        <v>23713</v>
      </c>
      <c r="BA29">
        <v>0.495</v>
      </c>
      <c r="BB29">
        <v>4.7</v>
      </c>
    </row>
    <row r="30" spans="1:54" x14ac:dyDescent="0.3">
      <c r="A30" s="6">
        <v>19</v>
      </c>
      <c r="B30" s="8">
        <v>29</v>
      </c>
      <c r="C30" s="7" t="str">
        <f t="shared" si="0"/>
        <v>19_29</v>
      </c>
      <c r="D30" s="8" t="s">
        <v>30</v>
      </c>
      <c r="E30" s="8">
        <v>1</v>
      </c>
      <c r="F30" s="8">
        <v>0</v>
      </c>
      <c r="G30" s="8">
        <v>2</v>
      </c>
      <c r="H30" s="6" t="s">
        <v>44</v>
      </c>
      <c r="I30" s="6" t="s">
        <v>86</v>
      </c>
      <c r="J30" s="6">
        <v>2</v>
      </c>
      <c r="K30" s="6">
        <v>1</v>
      </c>
      <c r="L30" s="6">
        <v>0</v>
      </c>
      <c r="M30" s="6">
        <v>0</v>
      </c>
      <c r="N30" s="6">
        <v>1</v>
      </c>
      <c r="O30" s="6">
        <v>1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1</v>
      </c>
      <c r="W30" s="6">
        <v>0</v>
      </c>
      <c r="X30" s="6">
        <v>0</v>
      </c>
      <c r="Y30" s="6">
        <v>0</v>
      </c>
      <c r="Z30" s="10">
        <v>1</v>
      </c>
      <c r="AA30" s="6">
        <v>3</v>
      </c>
      <c r="AB30" s="6">
        <v>0</v>
      </c>
      <c r="AC30" s="6">
        <v>2</v>
      </c>
      <c r="AD30" s="6">
        <v>5</v>
      </c>
      <c r="AE30" s="6">
        <v>2.5</v>
      </c>
      <c r="AF30" s="6">
        <v>0</v>
      </c>
      <c r="AG30" s="6">
        <v>2</v>
      </c>
      <c r="AH30" s="6">
        <v>1.5</v>
      </c>
      <c r="AI30" s="6" t="s">
        <v>86</v>
      </c>
      <c r="AJ30" s="9">
        <v>9</v>
      </c>
      <c r="AK30">
        <v>14840</v>
      </c>
      <c r="AL30" s="33">
        <v>75110</v>
      </c>
      <c r="AM30" s="32">
        <v>751104011</v>
      </c>
      <c r="AN30">
        <v>75</v>
      </c>
      <c r="AO30" t="s">
        <v>384</v>
      </c>
      <c r="AP30" t="s">
        <v>109</v>
      </c>
      <c r="AQ30">
        <v>25470</v>
      </c>
      <c r="AR30">
        <v>2449</v>
      </c>
      <c r="AS30">
        <v>2022</v>
      </c>
      <c r="AT30">
        <v>426</v>
      </c>
      <c r="AU30">
        <v>556</v>
      </c>
      <c r="AV30">
        <v>60558</v>
      </c>
      <c r="AW30">
        <v>2264</v>
      </c>
      <c r="AX30">
        <v>3993</v>
      </c>
      <c r="AY30">
        <v>7</v>
      </c>
      <c r="AZ30">
        <v>31633</v>
      </c>
      <c r="BA30">
        <v>0.46899999999999997</v>
      </c>
      <c r="BB30">
        <v>4.0999999999999996</v>
      </c>
    </row>
    <row r="31" spans="1:54" x14ac:dyDescent="0.3">
      <c r="A31" s="6">
        <v>19</v>
      </c>
      <c r="B31" s="8">
        <v>30</v>
      </c>
      <c r="C31" s="7" t="str">
        <f t="shared" si="0"/>
        <v>19_30</v>
      </c>
      <c r="D31" s="8" t="s">
        <v>31</v>
      </c>
      <c r="E31" s="8">
        <v>1</v>
      </c>
      <c r="F31" s="8">
        <v>0</v>
      </c>
      <c r="G31" s="8">
        <v>2</v>
      </c>
      <c r="H31" s="6" t="s">
        <v>44</v>
      </c>
      <c r="I31" s="6" t="s">
        <v>86</v>
      </c>
      <c r="J31" s="6">
        <v>2</v>
      </c>
      <c r="K31" s="6">
        <v>1</v>
      </c>
      <c r="L31" s="6">
        <v>0</v>
      </c>
      <c r="M31" s="6">
        <v>1</v>
      </c>
      <c r="N31" s="6">
        <v>1</v>
      </c>
      <c r="O31" s="6">
        <v>1</v>
      </c>
      <c r="P31" s="6">
        <v>0</v>
      </c>
      <c r="Q31" s="6">
        <v>0</v>
      </c>
      <c r="R31" s="6">
        <v>0</v>
      </c>
      <c r="S31" s="6">
        <v>1</v>
      </c>
      <c r="T31" s="6">
        <v>0</v>
      </c>
      <c r="U31" s="6">
        <v>0</v>
      </c>
      <c r="V31" s="6">
        <v>1</v>
      </c>
      <c r="W31" s="6">
        <v>1</v>
      </c>
      <c r="X31" s="6">
        <v>1</v>
      </c>
      <c r="Y31" s="6">
        <v>1</v>
      </c>
      <c r="Z31" s="10">
        <v>1</v>
      </c>
      <c r="AA31" s="6">
        <v>4</v>
      </c>
      <c r="AB31" s="6">
        <v>1</v>
      </c>
      <c r="AC31" s="6">
        <v>5</v>
      </c>
      <c r="AD31" s="6">
        <v>10</v>
      </c>
      <c r="AE31" s="6">
        <v>3.3333333330000001</v>
      </c>
      <c r="AF31" s="6">
        <v>1</v>
      </c>
      <c r="AG31" s="6">
        <v>5</v>
      </c>
      <c r="AH31" s="6">
        <v>3.111111111</v>
      </c>
      <c r="AI31" s="6" t="s">
        <v>48</v>
      </c>
      <c r="AJ31" s="9">
        <v>10</v>
      </c>
      <c r="AK31">
        <v>15476</v>
      </c>
      <c r="AL31" s="33" t="s">
        <v>105</v>
      </c>
      <c r="AM31" t="s">
        <v>139</v>
      </c>
      <c r="AN31" t="s">
        <v>130</v>
      </c>
      <c r="AO31" t="s">
        <v>140</v>
      </c>
      <c r="AP31" t="s">
        <v>109</v>
      </c>
      <c r="AQ31">
        <v>17020</v>
      </c>
      <c r="AR31">
        <v>1822</v>
      </c>
      <c r="AS31">
        <v>1447</v>
      </c>
      <c r="AT31">
        <v>374</v>
      </c>
      <c r="AU31">
        <v>533</v>
      </c>
      <c r="AV31">
        <v>300660</v>
      </c>
      <c r="AW31">
        <v>2844</v>
      </c>
      <c r="AX31">
        <v>97895</v>
      </c>
      <c r="AY31">
        <v>33</v>
      </c>
      <c r="AZ31">
        <v>23713</v>
      </c>
      <c r="BA31">
        <v>0.495</v>
      </c>
      <c r="BB31">
        <v>4.7</v>
      </c>
    </row>
    <row r="32" spans="1:54" x14ac:dyDescent="0.3">
      <c r="A32" s="6">
        <v>19</v>
      </c>
      <c r="B32" s="8">
        <v>31</v>
      </c>
      <c r="C32" s="7" t="str">
        <f t="shared" si="0"/>
        <v>19_31</v>
      </c>
      <c r="D32" s="8" t="s">
        <v>32</v>
      </c>
      <c r="E32" s="8">
        <v>0</v>
      </c>
      <c r="F32" s="8">
        <v>0</v>
      </c>
      <c r="G32" s="8">
        <v>2</v>
      </c>
      <c r="H32" s="6" t="s">
        <v>40</v>
      </c>
      <c r="I32" s="6" t="s">
        <v>86</v>
      </c>
      <c r="J32" s="6">
        <v>1</v>
      </c>
      <c r="K32" s="6">
        <v>1</v>
      </c>
      <c r="L32" s="6">
        <v>1</v>
      </c>
      <c r="M32" s="6">
        <v>0</v>
      </c>
      <c r="N32" s="6">
        <v>1</v>
      </c>
      <c r="O32" s="6">
        <v>1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1</v>
      </c>
      <c r="X32" s="6">
        <v>1</v>
      </c>
      <c r="Y32" s="6">
        <v>0</v>
      </c>
      <c r="Z32" s="10">
        <v>0</v>
      </c>
      <c r="AA32" s="6">
        <v>4</v>
      </c>
      <c r="AB32" s="6">
        <v>0</v>
      </c>
      <c r="AC32" s="6">
        <v>2</v>
      </c>
      <c r="AD32" s="6">
        <v>6</v>
      </c>
      <c r="AE32" s="6">
        <v>3.3333333330000001</v>
      </c>
      <c r="AF32" s="6">
        <v>0</v>
      </c>
      <c r="AG32" s="6">
        <v>2</v>
      </c>
      <c r="AH32" s="6">
        <v>1.7777777779999999</v>
      </c>
      <c r="AI32" s="6" t="s">
        <v>86</v>
      </c>
      <c r="AJ32" s="9">
        <v>11</v>
      </c>
      <c r="AK32">
        <v>15473</v>
      </c>
      <c r="AL32" s="33" t="s">
        <v>105</v>
      </c>
      <c r="AM32" t="s">
        <v>141</v>
      </c>
      <c r="AN32" t="s">
        <v>107</v>
      </c>
      <c r="AO32" t="s">
        <v>142</v>
      </c>
      <c r="AP32" t="s">
        <v>109</v>
      </c>
      <c r="AQ32">
        <v>14320</v>
      </c>
      <c r="AR32">
        <v>1486</v>
      </c>
      <c r="AS32">
        <v>1012</v>
      </c>
      <c r="AT32">
        <v>474</v>
      </c>
      <c r="AU32">
        <v>603</v>
      </c>
      <c r="AV32">
        <v>44418</v>
      </c>
      <c r="AW32">
        <v>2841</v>
      </c>
      <c r="AX32">
        <v>11158</v>
      </c>
      <c r="AY32">
        <v>25</v>
      </c>
      <c r="AZ32">
        <v>23713</v>
      </c>
      <c r="BA32">
        <v>0.495</v>
      </c>
      <c r="BB32">
        <v>4.7</v>
      </c>
    </row>
    <row r="33" spans="1:54" s="29" customFormat="1" x14ac:dyDescent="0.3">
      <c r="A33" s="24">
        <v>19</v>
      </c>
      <c r="B33" s="25">
        <v>32</v>
      </c>
      <c r="C33" s="26" t="str">
        <f t="shared" si="0"/>
        <v>19_32</v>
      </c>
      <c r="D33" s="25" t="s">
        <v>33</v>
      </c>
      <c r="E33" s="25">
        <v>1</v>
      </c>
      <c r="F33" s="25">
        <v>0</v>
      </c>
      <c r="G33" s="25">
        <v>2</v>
      </c>
      <c r="H33" s="24" t="s">
        <v>44</v>
      </c>
      <c r="I33" s="24" t="s">
        <v>86</v>
      </c>
      <c r="J33" s="24">
        <v>2</v>
      </c>
      <c r="K33" s="24">
        <v>1</v>
      </c>
      <c r="L33" s="24">
        <v>0</v>
      </c>
      <c r="M33" s="24">
        <v>0</v>
      </c>
      <c r="N33" s="24">
        <v>1</v>
      </c>
      <c r="O33" s="24">
        <v>1</v>
      </c>
      <c r="P33" s="24">
        <v>0</v>
      </c>
      <c r="Q33" s="24">
        <v>0</v>
      </c>
      <c r="R33" s="24">
        <v>1</v>
      </c>
      <c r="S33" s="24">
        <v>0</v>
      </c>
      <c r="T33" s="24">
        <v>0</v>
      </c>
      <c r="U33" s="24">
        <v>0</v>
      </c>
      <c r="V33" s="24">
        <v>1</v>
      </c>
      <c r="W33" s="24">
        <v>0</v>
      </c>
      <c r="X33" s="24">
        <v>0</v>
      </c>
      <c r="Y33" s="24">
        <v>0</v>
      </c>
      <c r="Z33" s="27">
        <v>1</v>
      </c>
      <c r="AA33" s="24">
        <v>3</v>
      </c>
      <c r="AB33" s="24">
        <v>1</v>
      </c>
      <c r="AC33" s="24">
        <v>2</v>
      </c>
      <c r="AD33" s="24">
        <v>6</v>
      </c>
      <c r="AE33" s="24">
        <v>2.5</v>
      </c>
      <c r="AF33" s="24">
        <v>1</v>
      </c>
      <c r="AG33" s="24">
        <v>2</v>
      </c>
      <c r="AH33" s="24">
        <v>1.8333333329999999</v>
      </c>
      <c r="AI33" s="24" t="s">
        <v>49</v>
      </c>
      <c r="AJ33" s="28">
        <v>12</v>
      </c>
      <c r="AK33" s="29">
        <v>807</v>
      </c>
      <c r="AL33" s="35" t="s">
        <v>105</v>
      </c>
      <c r="AM33" s="29" t="s">
        <v>143</v>
      </c>
      <c r="AN33" s="29" t="s">
        <v>107</v>
      </c>
      <c r="AO33" s="29" t="s">
        <v>144</v>
      </c>
      <c r="AP33" s="29" t="s">
        <v>124</v>
      </c>
      <c r="AQ33" s="29" t="s">
        <v>86</v>
      </c>
      <c r="AR33" s="29">
        <v>559</v>
      </c>
      <c r="AS33" s="29">
        <v>451</v>
      </c>
      <c r="AT33" s="29">
        <v>108</v>
      </c>
      <c r="AU33" s="29">
        <v>126</v>
      </c>
      <c r="AV33" s="29">
        <v>140797</v>
      </c>
      <c r="AW33" s="29">
        <v>120</v>
      </c>
      <c r="AX33" s="29">
        <v>46743</v>
      </c>
      <c r="AY33" s="29">
        <v>33</v>
      </c>
      <c r="AZ33" s="29">
        <v>23713</v>
      </c>
      <c r="BA33" s="29">
        <v>0.495</v>
      </c>
      <c r="BB33" s="29">
        <v>4.7</v>
      </c>
    </row>
    <row r="34" spans="1:54" x14ac:dyDescent="0.3">
      <c r="A34" s="6">
        <v>19</v>
      </c>
      <c r="B34" s="8">
        <v>33</v>
      </c>
      <c r="C34" s="7" t="str">
        <f t="shared" si="0"/>
        <v>19_33</v>
      </c>
      <c r="D34" s="8" t="s">
        <v>34</v>
      </c>
      <c r="E34" s="8">
        <v>1</v>
      </c>
      <c r="F34" s="8">
        <v>0</v>
      </c>
      <c r="G34" s="8">
        <v>2</v>
      </c>
      <c r="H34" s="6" t="s">
        <v>44</v>
      </c>
      <c r="I34" s="6" t="s">
        <v>86</v>
      </c>
      <c r="J34" s="6">
        <v>2</v>
      </c>
      <c r="K34" s="6">
        <v>1</v>
      </c>
      <c r="L34" s="6">
        <v>1</v>
      </c>
      <c r="M34" s="6">
        <v>0</v>
      </c>
      <c r="N34" s="6">
        <v>1</v>
      </c>
      <c r="O34" s="6">
        <v>1</v>
      </c>
      <c r="P34" s="6">
        <v>1</v>
      </c>
      <c r="Q34" s="6">
        <v>0</v>
      </c>
      <c r="R34" s="6">
        <v>0</v>
      </c>
      <c r="S34" s="6">
        <v>1</v>
      </c>
      <c r="T34" s="6">
        <v>0</v>
      </c>
      <c r="U34" s="6">
        <v>0</v>
      </c>
      <c r="V34" s="6">
        <v>1</v>
      </c>
      <c r="W34" s="6">
        <v>0</v>
      </c>
      <c r="X34" s="6">
        <v>0</v>
      </c>
      <c r="Y34" s="6">
        <v>0</v>
      </c>
      <c r="Z34" s="10">
        <v>1</v>
      </c>
      <c r="AA34" s="6">
        <v>5</v>
      </c>
      <c r="AB34" s="6">
        <v>1</v>
      </c>
      <c r="AC34" s="6">
        <v>2</v>
      </c>
      <c r="AD34" s="6">
        <v>8</v>
      </c>
      <c r="AE34" s="6">
        <v>4.1666666670000003</v>
      </c>
      <c r="AF34" s="6">
        <v>1</v>
      </c>
      <c r="AG34" s="6">
        <v>2</v>
      </c>
      <c r="AH34" s="6">
        <v>2.388888889</v>
      </c>
      <c r="AI34" s="6" t="s">
        <v>86</v>
      </c>
      <c r="AJ34" s="9">
        <v>13</v>
      </c>
      <c r="AK34">
        <v>15447</v>
      </c>
      <c r="AL34" s="33" t="s">
        <v>105</v>
      </c>
      <c r="AM34" t="s">
        <v>129</v>
      </c>
      <c r="AN34" t="s">
        <v>130</v>
      </c>
      <c r="AO34" t="s">
        <v>131</v>
      </c>
      <c r="AP34" t="s">
        <v>109</v>
      </c>
      <c r="AQ34">
        <v>17190</v>
      </c>
      <c r="AR34">
        <v>1796</v>
      </c>
      <c r="AS34">
        <v>1053</v>
      </c>
      <c r="AT34">
        <v>743</v>
      </c>
      <c r="AU34">
        <v>868</v>
      </c>
      <c r="AV34">
        <v>609007</v>
      </c>
      <c r="AW34">
        <v>2815</v>
      </c>
      <c r="AX34">
        <v>92970</v>
      </c>
      <c r="AY34">
        <v>15</v>
      </c>
      <c r="AZ34">
        <v>23713</v>
      </c>
      <c r="BA34">
        <v>0.495</v>
      </c>
      <c r="BB34">
        <v>4.7</v>
      </c>
    </row>
    <row r="35" spans="1:54" x14ac:dyDescent="0.3">
      <c r="A35" s="6">
        <v>19</v>
      </c>
      <c r="B35" s="8">
        <v>34</v>
      </c>
      <c r="C35" s="7" t="str">
        <f t="shared" si="0"/>
        <v>19_34</v>
      </c>
      <c r="D35" s="8" t="s">
        <v>35</v>
      </c>
      <c r="E35" s="8">
        <v>0</v>
      </c>
      <c r="F35" s="8">
        <v>0</v>
      </c>
      <c r="G35" s="8">
        <v>2</v>
      </c>
      <c r="H35" s="6" t="s">
        <v>42</v>
      </c>
      <c r="I35" s="6" t="s">
        <v>51</v>
      </c>
      <c r="J35" s="6">
        <v>1</v>
      </c>
      <c r="K35" s="6">
        <v>1</v>
      </c>
      <c r="L35" s="6">
        <v>1</v>
      </c>
      <c r="M35" s="6">
        <v>0</v>
      </c>
      <c r="N35" s="6">
        <v>1</v>
      </c>
      <c r="O35" s="6">
        <v>1</v>
      </c>
      <c r="P35" s="6">
        <v>0</v>
      </c>
      <c r="Q35" s="6">
        <v>1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1</v>
      </c>
      <c r="X35" s="6">
        <v>1</v>
      </c>
      <c r="Y35" s="6">
        <v>0</v>
      </c>
      <c r="Z35" s="10">
        <v>1</v>
      </c>
      <c r="AA35" s="6">
        <v>4</v>
      </c>
      <c r="AB35" s="6">
        <v>1</v>
      </c>
      <c r="AC35" s="6">
        <v>3</v>
      </c>
      <c r="AD35" s="6">
        <v>8</v>
      </c>
      <c r="AE35" s="6">
        <v>3.3333333330000001</v>
      </c>
      <c r="AF35" s="6">
        <v>1</v>
      </c>
      <c r="AG35" s="6">
        <v>3</v>
      </c>
      <c r="AH35" s="6">
        <v>2.4444444440000002</v>
      </c>
      <c r="AI35" s="6" t="s">
        <v>86</v>
      </c>
      <c r="AJ35" s="9">
        <v>14</v>
      </c>
      <c r="AK35">
        <v>15476</v>
      </c>
      <c r="AL35" s="33" t="s">
        <v>105</v>
      </c>
      <c r="AM35" t="s">
        <v>139</v>
      </c>
      <c r="AN35" t="s">
        <v>130</v>
      </c>
      <c r="AO35" t="s">
        <v>140</v>
      </c>
      <c r="AP35" t="s">
        <v>109</v>
      </c>
      <c r="AQ35">
        <v>17020</v>
      </c>
      <c r="AR35">
        <v>1822</v>
      </c>
      <c r="AS35">
        <v>1447</v>
      </c>
      <c r="AT35">
        <v>374</v>
      </c>
      <c r="AU35">
        <v>533</v>
      </c>
      <c r="AV35">
        <v>300660</v>
      </c>
      <c r="AW35">
        <v>2844</v>
      </c>
      <c r="AX35">
        <v>97895</v>
      </c>
      <c r="AY35">
        <v>33</v>
      </c>
      <c r="AZ35">
        <v>23713</v>
      </c>
      <c r="BA35">
        <v>0.495</v>
      </c>
      <c r="BB35">
        <v>4.7</v>
      </c>
    </row>
    <row r="36" spans="1:54" x14ac:dyDescent="0.3">
      <c r="A36" s="6">
        <v>19</v>
      </c>
      <c r="B36" s="8">
        <v>35</v>
      </c>
      <c r="C36" s="7" t="str">
        <f t="shared" si="0"/>
        <v>19_35</v>
      </c>
      <c r="D36" s="8" t="s">
        <v>36</v>
      </c>
      <c r="E36" s="8">
        <v>1</v>
      </c>
      <c r="F36" s="8">
        <v>0</v>
      </c>
      <c r="G36" s="8">
        <v>2</v>
      </c>
      <c r="H36" s="6" t="s">
        <v>42</v>
      </c>
      <c r="I36" s="6" t="s">
        <v>52</v>
      </c>
      <c r="J36" s="6">
        <v>2</v>
      </c>
      <c r="K36" s="6">
        <v>1</v>
      </c>
      <c r="L36" s="6">
        <v>0</v>
      </c>
      <c r="M36" s="6">
        <v>0</v>
      </c>
      <c r="N36" s="6">
        <v>0</v>
      </c>
      <c r="O36" s="6">
        <v>1</v>
      </c>
      <c r="P36" s="6">
        <v>0</v>
      </c>
      <c r="Q36" s="6">
        <v>0</v>
      </c>
      <c r="R36" s="6">
        <v>0</v>
      </c>
      <c r="S36" s="6">
        <v>1</v>
      </c>
      <c r="T36" s="6">
        <v>0</v>
      </c>
      <c r="U36" s="6">
        <v>1</v>
      </c>
      <c r="V36" s="6">
        <v>1</v>
      </c>
      <c r="W36" s="6">
        <v>1</v>
      </c>
      <c r="X36" s="6">
        <v>0</v>
      </c>
      <c r="Y36" s="6">
        <v>0</v>
      </c>
      <c r="Z36" s="10">
        <v>1</v>
      </c>
      <c r="AA36" s="6">
        <v>2</v>
      </c>
      <c r="AB36" s="6">
        <v>2</v>
      </c>
      <c r="AC36" s="6">
        <v>3</v>
      </c>
      <c r="AD36" s="6">
        <v>7</v>
      </c>
      <c r="AE36" s="6">
        <v>1.6666666670000001</v>
      </c>
      <c r="AF36" s="6">
        <v>2</v>
      </c>
      <c r="AG36" s="6">
        <v>3</v>
      </c>
      <c r="AH36" s="6">
        <v>2.2222222220000001</v>
      </c>
      <c r="AI36" s="6" t="s">
        <v>86</v>
      </c>
      <c r="AJ36" s="9">
        <v>15</v>
      </c>
      <c r="AK36">
        <v>15432</v>
      </c>
      <c r="AL36" s="33" t="s">
        <v>105</v>
      </c>
      <c r="AM36" t="s">
        <v>145</v>
      </c>
      <c r="AN36" t="s">
        <v>107</v>
      </c>
      <c r="AO36" t="s">
        <v>146</v>
      </c>
      <c r="AP36" t="s">
        <v>109</v>
      </c>
      <c r="AQ36">
        <v>24760</v>
      </c>
      <c r="AR36">
        <v>3715</v>
      </c>
      <c r="AS36">
        <v>3251</v>
      </c>
      <c r="AT36">
        <v>465</v>
      </c>
      <c r="AU36">
        <v>802</v>
      </c>
      <c r="AV36">
        <v>75039</v>
      </c>
      <c r="AW36">
        <v>2800</v>
      </c>
      <c r="AX36">
        <v>21689</v>
      </c>
      <c r="AY36">
        <v>29</v>
      </c>
      <c r="AZ36">
        <v>23713</v>
      </c>
      <c r="BA36">
        <v>0.495</v>
      </c>
      <c r="BB36">
        <v>4.7</v>
      </c>
    </row>
    <row r="37" spans="1:54" x14ac:dyDescent="0.3">
      <c r="A37" s="6">
        <v>19</v>
      </c>
      <c r="B37" s="8">
        <v>36</v>
      </c>
      <c r="C37" s="7" t="str">
        <f t="shared" si="0"/>
        <v>19_36</v>
      </c>
      <c r="D37" s="8" t="s">
        <v>37</v>
      </c>
      <c r="E37" s="8">
        <v>1</v>
      </c>
      <c r="F37" s="8">
        <v>0</v>
      </c>
      <c r="G37" s="8">
        <v>2</v>
      </c>
      <c r="H37" s="6" t="s">
        <v>43</v>
      </c>
      <c r="I37" s="6" t="s">
        <v>41</v>
      </c>
      <c r="J37" s="1">
        <v>2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1</v>
      </c>
      <c r="X37" s="1">
        <v>1</v>
      </c>
      <c r="Y37" s="1">
        <v>0</v>
      </c>
      <c r="Z37" s="4">
        <v>1</v>
      </c>
      <c r="AA37" s="1">
        <v>5</v>
      </c>
      <c r="AB37" s="1">
        <v>0</v>
      </c>
      <c r="AC37" s="1">
        <v>4</v>
      </c>
      <c r="AD37" s="1">
        <v>9</v>
      </c>
      <c r="AE37" s="1">
        <v>4.1666666670000003</v>
      </c>
      <c r="AF37" s="1">
        <v>0</v>
      </c>
      <c r="AG37" s="1">
        <v>4</v>
      </c>
      <c r="AH37" s="1">
        <v>2.7222222220000001</v>
      </c>
      <c r="AI37" s="6" t="s">
        <v>86</v>
      </c>
      <c r="AJ37" s="9">
        <v>16</v>
      </c>
      <c r="AK37">
        <v>15437</v>
      </c>
      <c r="AL37" s="33" t="s">
        <v>105</v>
      </c>
      <c r="AM37" t="s">
        <v>147</v>
      </c>
      <c r="AN37" t="s">
        <v>107</v>
      </c>
      <c r="AO37" t="s">
        <v>148</v>
      </c>
      <c r="AP37" t="s">
        <v>109</v>
      </c>
      <c r="AQ37">
        <v>14610</v>
      </c>
      <c r="AR37">
        <v>3134</v>
      </c>
      <c r="AS37">
        <v>2470</v>
      </c>
      <c r="AT37">
        <v>664</v>
      </c>
      <c r="AU37">
        <v>1130</v>
      </c>
      <c r="AV37">
        <v>66545</v>
      </c>
      <c r="AW37">
        <v>2805</v>
      </c>
      <c r="AX37">
        <v>13746</v>
      </c>
      <c r="AY37">
        <v>21</v>
      </c>
      <c r="AZ37">
        <v>23713</v>
      </c>
      <c r="BA37">
        <v>0.495</v>
      </c>
      <c r="BB37">
        <v>4.7</v>
      </c>
    </row>
    <row r="38" spans="1:54" x14ac:dyDescent="0.3">
      <c r="A38" s="6">
        <v>19</v>
      </c>
      <c r="B38" s="8">
        <v>37</v>
      </c>
      <c r="C38" s="7" t="str">
        <f>A38&amp;"_"&amp;B38</f>
        <v>19_37</v>
      </c>
      <c r="D38" s="8" t="s">
        <v>3</v>
      </c>
      <c r="E38" s="8">
        <v>1</v>
      </c>
      <c r="F38" s="8">
        <v>0</v>
      </c>
      <c r="G38" s="8">
        <v>2</v>
      </c>
      <c r="H38" s="6" t="s">
        <v>40</v>
      </c>
      <c r="I38" s="6" t="s">
        <v>41</v>
      </c>
      <c r="J38" s="6">
        <v>1</v>
      </c>
      <c r="K38" s="6">
        <v>1</v>
      </c>
      <c r="L38" s="6">
        <v>0</v>
      </c>
      <c r="M38" s="6">
        <v>1</v>
      </c>
      <c r="N38" s="6">
        <v>1</v>
      </c>
      <c r="O38" s="6">
        <v>1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1</v>
      </c>
      <c r="X38" s="6">
        <v>0</v>
      </c>
      <c r="Y38" s="6">
        <v>0</v>
      </c>
      <c r="Z38" s="10">
        <v>1</v>
      </c>
      <c r="AA38" s="6">
        <v>4</v>
      </c>
      <c r="AB38" s="6">
        <v>0</v>
      </c>
      <c r="AC38" s="6">
        <v>2</v>
      </c>
      <c r="AD38" s="6">
        <v>6</v>
      </c>
      <c r="AE38" s="6">
        <v>3.3333333330000001</v>
      </c>
      <c r="AF38" s="6">
        <v>0</v>
      </c>
      <c r="AG38" s="6">
        <v>2</v>
      </c>
      <c r="AH38" s="6">
        <v>1.7777777779999999</v>
      </c>
      <c r="AI38" s="6" t="s">
        <v>86</v>
      </c>
      <c r="AJ38" s="9">
        <v>34</v>
      </c>
      <c r="AK38">
        <v>15457</v>
      </c>
      <c r="AL38" s="33" t="s">
        <v>105</v>
      </c>
      <c r="AM38" t="s">
        <v>149</v>
      </c>
      <c r="AN38" t="s">
        <v>107</v>
      </c>
      <c r="AO38" t="s">
        <v>150</v>
      </c>
      <c r="AP38" t="s">
        <v>109</v>
      </c>
      <c r="AQ38">
        <v>27130</v>
      </c>
      <c r="AR38">
        <v>2756</v>
      </c>
      <c r="AS38">
        <v>2482</v>
      </c>
      <c r="AT38">
        <v>274</v>
      </c>
      <c r="AU38">
        <v>562</v>
      </c>
      <c r="AV38">
        <v>140938</v>
      </c>
      <c r="AW38">
        <v>2825</v>
      </c>
      <c r="AX38">
        <v>43959</v>
      </c>
      <c r="AY38">
        <v>31</v>
      </c>
      <c r="AZ38">
        <v>23713</v>
      </c>
      <c r="BA38">
        <v>0.495</v>
      </c>
      <c r="BB38">
        <v>4.7</v>
      </c>
    </row>
    <row r="39" spans="1:54" x14ac:dyDescent="0.3">
      <c r="A39" s="6">
        <v>7</v>
      </c>
      <c r="B39" s="16">
        <v>1</v>
      </c>
      <c r="C39" s="7" t="str">
        <f t="shared" ref="C39:C102" si="1">A39&amp;"_"&amp;B39</f>
        <v>7_1</v>
      </c>
      <c r="D39" s="8" t="s">
        <v>151</v>
      </c>
      <c r="E39" s="8">
        <v>1</v>
      </c>
      <c r="F39" s="8">
        <v>0</v>
      </c>
      <c r="G39" s="8">
        <v>2</v>
      </c>
      <c r="H39" s="6" t="s">
        <v>39</v>
      </c>
      <c r="I39" s="6" t="s">
        <v>181</v>
      </c>
      <c r="J39" s="6">
        <v>3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0</v>
      </c>
      <c r="S39" s="6">
        <v>0</v>
      </c>
      <c r="T39" s="6">
        <v>0</v>
      </c>
      <c r="U39" s="6">
        <v>0</v>
      </c>
      <c r="V39" s="6">
        <v>1</v>
      </c>
      <c r="W39" s="6">
        <v>1</v>
      </c>
      <c r="X39" s="6">
        <v>0</v>
      </c>
      <c r="Y39" s="6">
        <v>0</v>
      </c>
      <c r="Z39" s="10">
        <v>1</v>
      </c>
      <c r="AA39" s="6">
        <v>6</v>
      </c>
      <c r="AB39" s="6">
        <v>1</v>
      </c>
      <c r="AC39" s="6">
        <v>3</v>
      </c>
      <c r="AD39" s="6">
        <v>10</v>
      </c>
      <c r="AE39" s="6">
        <v>5</v>
      </c>
      <c r="AF39" s="6">
        <v>1</v>
      </c>
      <c r="AG39" s="6">
        <v>3</v>
      </c>
      <c r="AH39" s="6">
        <v>3</v>
      </c>
      <c r="AI39" s="6" t="s">
        <v>86</v>
      </c>
      <c r="AJ39" s="9">
        <v>0</v>
      </c>
      <c r="AK39">
        <v>15175</v>
      </c>
      <c r="AL39" s="33" t="s">
        <v>197</v>
      </c>
      <c r="AM39" t="s">
        <v>198</v>
      </c>
      <c r="AN39" t="s">
        <v>107</v>
      </c>
      <c r="AO39" t="s">
        <v>199</v>
      </c>
      <c r="AP39" t="s">
        <v>109</v>
      </c>
      <c r="AQ39">
        <v>50120</v>
      </c>
      <c r="AR39">
        <v>1896</v>
      </c>
      <c r="AS39">
        <v>1637</v>
      </c>
      <c r="AT39">
        <v>258</v>
      </c>
      <c r="AU39">
        <v>346</v>
      </c>
      <c r="AV39">
        <v>76775</v>
      </c>
      <c r="AW39">
        <v>2547</v>
      </c>
      <c r="AX39">
        <v>16563</v>
      </c>
      <c r="AY39">
        <v>22</v>
      </c>
      <c r="AZ39">
        <v>37053</v>
      </c>
      <c r="BA39">
        <v>0.36399999999999999</v>
      </c>
      <c r="BB39">
        <v>2.4</v>
      </c>
    </row>
    <row r="40" spans="1:54" x14ac:dyDescent="0.3">
      <c r="A40" s="6">
        <v>7</v>
      </c>
      <c r="B40" s="16">
        <v>2</v>
      </c>
      <c r="C40" s="7" t="str">
        <f t="shared" si="1"/>
        <v>7_2</v>
      </c>
      <c r="D40" s="8" t="s">
        <v>152</v>
      </c>
      <c r="E40" s="19">
        <v>0</v>
      </c>
      <c r="F40" s="19">
        <v>0</v>
      </c>
      <c r="G40" s="19">
        <v>1</v>
      </c>
      <c r="H40" t="s">
        <v>39</v>
      </c>
      <c r="I40" t="s">
        <v>51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1</v>
      </c>
      <c r="AA40">
        <v>1</v>
      </c>
      <c r="AB40">
        <v>1</v>
      </c>
      <c r="AC40">
        <v>3</v>
      </c>
      <c r="AD40">
        <v>5</v>
      </c>
      <c r="AE40">
        <v>0.83333333300000001</v>
      </c>
      <c r="AF40">
        <v>1</v>
      </c>
      <c r="AG40">
        <v>3</v>
      </c>
      <c r="AH40">
        <v>1.611111111</v>
      </c>
      <c r="AI40" s="6" t="s">
        <v>86</v>
      </c>
      <c r="AJ40" s="9">
        <v>1</v>
      </c>
      <c r="AK40">
        <v>14681</v>
      </c>
      <c r="AL40" s="33" t="s">
        <v>200</v>
      </c>
      <c r="AM40" t="s">
        <v>201</v>
      </c>
      <c r="AN40" t="s">
        <v>107</v>
      </c>
      <c r="AO40" t="s">
        <v>202</v>
      </c>
      <c r="AP40" t="s">
        <v>109</v>
      </c>
      <c r="AQ40">
        <v>44420</v>
      </c>
      <c r="AR40">
        <v>2819</v>
      </c>
      <c r="AS40">
        <v>2218</v>
      </c>
      <c r="AT40">
        <v>601</v>
      </c>
      <c r="AU40">
        <v>700</v>
      </c>
      <c r="AV40">
        <v>90633</v>
      </c>
      <c r="AW40">
        <v>2188</v>
      </c>
      <c r="AX40">
        <v>10614</v>
      </c>
      <c r="AY40">
        <v>12</v>
      </c>
      <c r="AZ40">
        <v>54890</v>
      </c>
      <c r="BA40">
        <v>0.64600000000000002</v>
      </c>
      <c r="BB40">
        <v>0.9</v>
      </c>
    </row>
    <row r="41" spans="1:54" x14ac:dyDescent="0.3">
      <c r="A41" s="6">
        <v>7</v>
      </c>
      <c r="B41" s="16">
        <v>3</v>
      </c>
      <c r="C41" s="7" t="str">
        <f t="shared" si="1"/>
        <v>7_3</v>
      </c>
      <c r="D41" s="8" t="s">
        <v>153</v>
      </c>
      <c r="E41" s="19">
        <v>1</v>
      </c>
      <c r="F41" s="19">
        <v>0</v>
      </c>
      <c r="G41" s="19">
        <v>2</v>
      </c>
      <c r="H41" t="s">
        <v>43</v>
      </c>
      <c r="I41" t="s">
        <v>182</v>
      </c>
      <c r="J41">
        <v>3</v>
      </c>
      <c r="K41">
        <v>1</v>
      </c>
      <c r="L41">
        <v>1</v>
      </c>
      <c r="M41">
        <v>0</v>
      </c>
      <c r="N41">
        <v>1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5</v>
      </c>
      <c r="AB41">
        <v>0</v>
      </c>
      <c r="AC41">
        <v>2</v>
      </c>
      <c r="AD41">
        <v>7</v>
      </c>
      <c r="AE41">
        <v>4.1666666670000003</v>
      </c>
      <c r="AF41">
        <v>0</v>
      </c>
      <c r="AG41">
        <v>2</v>
      </c>
      <c r="AH41">
        <v>2.0555555559999998</v>
      </c>
      <c r="AI41" t="s">
        <v>183</v>
      </c>
      <c r="AJ41" s="9">
        <v>2</v>
      </c>
      <c r="AK41">
        <v>14664</v>
      </c>
      <c r="AL41" s="33" t="s">
        <v>200</v>
      </c>
      <c r="AM41" t="s">
        <v>203</v>
      </c>
      <c r="AN41" t="s">
        <v>107</v>
      </c>
      <c r="AO41" t="s">
        <v>204</v>
      </c>
      <c r="AP41" t="s">
        <v>109</v>
      </c>
      <c r="AQ41">
        <v>46120</v>
      </c>
      <c r="AR41">
        <v>1652</v>
      </c>
      <c r="AS41">
        <v>1504</v>
      </c>
      <c r="AT41">
        <v>148</v>
      </c>
      <c r="AU41">
        <v>192</v>
      </c>
      <c r="AV41">
        <v>112197</v>
      </c>
      <c r="AW41">
        <v>2184</v>
      </c>
      <c r="AX41">
        <v>30777</v>
      </c>
      <c r="AY41">
        <v>27</v>
      </c>
      <c r="AZ41">
        <v>54890</v>
      </c>
      <c r="BA41">
        <v>0.64600000000000002</v>
      </c>
      <c r="BB41">
        <v>0.9</v>
      </c>
    </row>
    <row r="42" spans="1:54" s="5" customFormat="1" x14ac:dyDescent="0.3">
      <c r="A42" s="11">
        <v>7</v>
      </c>
      <c r="B42" s="18">
        <v>4</v>
      </c>
      <c r="C42" s="15" t="str">
        <f t="shared" si="1"/>
        <v>7_4</v>
      </c>
      <c r="D42" s="12" t="s">
        <v>154</v>
      </c>
      <c r="E42" s="21">
        <v>0</v>
      </c>
      <c r="F42" s="21">
        <v>0</v>
      </c>
      <c r="G42" s="21">
        <v>0</v>
      </c>
      <c r="H42" s="5" t="s">
        <v>86</v>
      </c>
      <c r="I42" s="5" t="s">
        <v>86</v>
      </c>
      <c r="J42" s="5" t="s">
        <v>86</v>
      </c>
      <c r="K42" s="5" t="s">
        <v>86</v>
      </c>
      <c r="L42" s="5" t="s">
        <v>86</v>
      </c>
      <c r="M42" s="5" t="s">
        <v>86</v>
      </c>
      <c r="N42" s="5" t="s">
        <v>86</v>
      </c>
      <c r="O42" s="5" t="s">
        <v>86</v>
      </c>
      <c r="P42" s="5" t="s">
        <v>86</v>
      </c>
      <c r="Q42" s="5" t="s">
        <v>86</v>
      </c>
      <c r="R42" s="5" t="s">
        <v>86</v>
      </c>
      <c r="S42" s="5" t="s">
        <v>86</v>
      </c>
      <c r="T42" s="5" t="s">
        <v>86</v>
      </c>
      <c r="U42" s="5" t="s">
        <v>86</v>
      </c>
      <c r="V42" s="5" t="s">
        <v>86</v>
      </c>
      <c r="W42" s="5" t="s">
        <v>86</v>
      </c>
      <c r="X42" s="5" t="s">
        <v>86</v>
      </c>
      <c r="Y42" s="5" t="s">
        <v>86</v>
      </c>
      <c r="Z42" s="5" t="s">
        <v>86</v>
      </c>
      <c r="AA42" s="5" t="s">
        <v>86</v>
      </c>
      <c r="AB42" s="5" t="s">
        <v>86</v>
      </c>
      <c r="AC42" s="5" t="s">
        <v>86</v>
      </c>
      <c r="AD42" s="5" t="s">
        <v>86</v>
      </c>
      <c r="AE42" s="5" t="s">
        <v>86</v>
      </c>
      <c r="AF42" s="5" t="s">
        <v>86</v>
      </c>
      <c r="AG42" s="5" t="s">
        <v>86</v>
      </c>
      <c r="AH42" s="5" t="s">
        <v>86</v>
      </c>
      <c r="AI42" s="5" t="s">
        <v>86</v>
      </c>
      <c r="AJ42" s="23">
        <v>3</v>
      </c>
      <c r="AK42" s="5">
        <v>14641</v>
      </c>
      <c r="AL42" s="34" t="s">
        <v>200</v>
      </c>
      <c r="AM42" s="5" t="s">
        <v>205</v>
      </c>
      <c r="AN42" s="5" t="s">
        <v>107</v>
      </c>
      <c r="AO42" s="5" t="s">
        <v>206</v>
      </c>
      <c r="AP42" s="5" t="s">
        <v>109</v>
      </c>
      <c r="AQ42" s="5">
        <v>46930</v>
      </c>
      <c r="AR42" s="5">
        <v>2537</v>
      </c>
      <c r="AS42" s="5">
        <v>2271</v>
      </c>
      <c r="AT42" s="5">
        <v>266</v>
      </c>
      <c r="AU42" s="5">
        <v>412</v>
      </c>
      <c r="AV42" s="5">
        <v>97664</v>
      </c>
      <c r="AW42" s="5">
        <v>2179</v>
      </c>
      <c r="AX42" s="5">
        <v>15258</v>
      </c>
      <c r="AY42" s="5">
        <v>16</v>
      </c>
      <c r="AZ42" s="5">
        <v>54890</v>
      </c>
      <c r="BA42" s="5">
        <v>0.64600000000000002</v>
      </c>
      <c r="BB42" s="5">
        <v>0.9</v>
      </c>
    </row>
    <row r="43" spans="1:54" x14ac:dyDescent="0.3">
      <c r="A43" s="6">
        <v>7</v>
      </c>
      <c r="B43" s="16">
        <v>5</v>
      </c>
      <c r="C43" s="7" t="str">
        <f t="shared" si="1"/>
        <v>7_5</v>
      </c>
      <c r="D43" s="8" t="s">
        <v>155</v>
      </c>
      <c r="E43" s="19">
        <v>0</v>
      </c>
      <c r="F43" s="19">
        <v>0</v>
      </c>
      <c r="G43" s="19">
        <v>2</v>
      </c>
      <c r="H43" t="s">
        <v>44</v>
      </c>
      <c r="I43" t="s">
        <v>51</v>
      </c>
      <c r="J43">
        <v>1</v>
      </c>
      <c r="K43">
        <v>1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3</v>
      </c>
      <c r="AB43">
        <v>0</v>
      </c>
      <c r="AC43">
        <v>1</v>
      </c>
      <c r="AD43">
        <v>4</v>
      </c>
      <c r="AE43">
        <v>2.5</v>
      </c>
      <c r="AF43">
        <v>0</v>
      </c>
      <c r="AG43">
        <v>1</v>
      </c>
      <c r="AH43">
        <v>1.1666666670000001</v>
      </c>
      <c r="AI43" s="6" t="s">
        <v>86</v>
      </c>
      <c r="AJ43" s="9">
        <v>4</v>
      </c>
      <c r="AK43">
        <v>14688</v>
      </c>
      <c r="AL43" s="33" t="s">
        <v>200</v>
      </c>
      <c r="AM43" t="s">
        <v>207</v>
      </c>
      <c r="AN43" t="s">
        <v>107</v>
      </c>
      <c r="AO43" t="s">
        <v>208</v>
      </c>
      <c r="AP43" t="s">
        <v>109</v>
      </c>
      <c r="AQ43">
        <v>59570</v>
      </c>
      <c r="AR43">
        <v>1540</v>
      </c>
      <c r="AS43">
        <v>1357</v>
      </c>
      <c r="AT43">
        <v>182</v>
      </c>
      <c r="AU43">
        <v>225</v>
      </c>
      <c r="AV43">
        <v>59934</v>
      </c>
      <c r="AW43">
        <v>2192</v>
      </c>
      <c r="AX43">
        <v>7081</v>
      </c>
      <c r="AY43">
        <v>12</v>
      </c>
      <c r="AZ43">
        <v>54890</v>
      </c>
      <c r="BA43">
        <v>0.64600000000000002</v>
      </c>
      <c r="BB43">
        <v>0.9</v>
      </c>
    </row>
    <row r="44" spans="1:54" s="5" customFormat="1" x14ac:dyDescent="0.3">
      <c r="A44" s="11">
        <v>7</v>
      </c>
      <c r="B44" s="18">
        <v>6</v>
      </c>
      <c r="C44" s="15" t="str">
        <f t="shared" si="1"/>
        <v>7_6</v>
      </c>
      <c r="D44" s="12" t="s">
        <v>156</v>
      </c>
      <c r="E44" s="21">
        <v>0</v>
      </c>
      <c r="F44" s="21">
        <v>0</v>
      </c>
      <c r="G44" s="21">
        <v>0</v>
      </c>
      <c r="H44" s="5" t="s">
        <v>86</v>
      </c>
      <c r="I44" s="5" t="s">
        <v>86</v>
      </c>
      <c r="J44" s="5" t="s">
        <v>86</v>
      </c>
      <c r="K44" s="5" t="s">
        <v>86</v>
      </c>
      <c r="L44" s="5" t="s">
        <v>86</v>
      </c>
      <c r="M44" s="5" t="s">
        <v>86</v>
      </c>
      <c r="N44" s="5" t="s">
        <v>86</v>
      </c>
      <c r="O44" s="5" t="s">
        <v>86</v>
      </c>
      <c r="P44" s="5" t="s">
        <v>86</v>
      </c>
      <c r="Q44" s="5" t="s">
        <v>86</v>
      </c>
      <c r="R44" s="5" t="s">
        <v>86</v>
      </c>
      <c r="S44" s="5" t="s">
        <v>86</v>
      </c>
      <c r="T44" s="5" t="s">
        <v>86</v>
      </c>
      <c r="U44" s="5" t="s">
        <v>86</v>
      </c>
      <c r="V44" s="5" t="s">
        <v>86</v>
      </c>
      <c r="W44" s="5" t="s">
        <v>86</v>
      </c>
      <c r="X44" s="5" t="s">
        <v>86</v>
      </c>
      <c r="Y44" s="5" t="s">
        <v>86</v>
      </c>
      <c r="Z44" s="5" t="s">
        <v>86</v>
      </c>
      <c r="AA44" s="5" t="s">
        <v>86</v>
      </c>
      <c r="AB44" s="5" t="s">
        <v>86</v>
      </c>
      <c r="AC44" s="5" t="s">
        <v>86</v>
      </c>
      <c r="AD44" s="5" t="s">
        <v>86</v>
      </c>
      <c r="AE44" s="5" t="s">
        <v>86</v>
      </c>
      <c r="AF44" s="5" t="s">
        <v>86</v>
      </c>
      <c r="AG44" s="5" t="s">
        <v>86</v>
      </c>
      <c r="AH44" s="5" t="s">
        <v>86</v>
      </c>
      <c r="AI44" s="5" t="s">
        <v>86</v>
      </c>
      <c r="AJ44" s="22">
        <v>5</v>
      </c>
      <c r="AK44" s="5">
        <v>14678</v>
      </c>
      <c r="AL44" s="34" t="s">
        <v>200</v>
      </c>
      <c r="AM44" s="5" t="s">
        <v>209</v>
      </c>
      <c r="AN44" s="5" t="s">
        <v>107</v>
      </c>
      <c r="AO44" s="5" t="s">
        <v>210</v>
      </c>
      <c r="AP44" s="5" t="s">
        <v>109</v>
      </c>
      <c r="AQ44" s="5">
        <v>39040</v>
      </c>
      <c r="AR44" s="5">
        <v>1493</v>
      </c>
      <c r="AS44" s="5">
        <v>1305</v>
      </c>
      <c r="AT44" s="5">
        <v>188</v>
      </c>
      <c r="AU44" s="5">
        <v>217</v>
      </c>
      <c r="AV44" s="5">
        <v>46297</v>
      </c>
      <c r="AW44" s="5">
        <v>2187</v>
      </c>
      <c r="AX44" s="5">
        <v>3252</v>
      </c>
      <c r="AY44" s="5">
        <v>7</v>
      </c>
      <c r="AZ44" s="5">
        <v>54890</v>
      </c>
      <c r="BA44" s="5">
        <v>0.64600000000000002</v>
      </c>
      <c r="BB44" s="5">
        <v>0.9</v>
      </c>
    </row>
    <row r="45" spans="1:54" x14ac:dyDescent="0.3">
      <c r="A45" s="6">
        <v>7</v>
      </c>
      <c r="B45" s="16">
        <v>7</v>
      </c>
      <c r="C45" s="7" t="str">
        <f t="shared" si="1"/>
        <v>7_7</v>
      </c>
      <c r="D45" s="8" t="s">
        <v>157</v>
      </c>
      <c r="E45" s="19">
        <v>0</v>
      </c>
      <c r="F45" s="19">
        <v>0</v>
      </c>
      <c r="G45" s="19">
        <v>1</v>
      </c>
      <c r="H45" t="s">
        <v>39</v>
      </c>
      <c r="I45" t="s">
        <v>184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1</v>
      </c>
      <c r="AB45">
        <v>1</v>
      </c>
      <c r="AC45">
        <v>2</v>
      </c>
      <c r="AD45">
        <v>4</v>
      </c>
      <c r="AE45">
        <v>0.83333333300000001</v>
      </c>
      <c r="AF45">
        <v>1</v>
      </c>
      <c r="AG45">
        <v>2</v>
      </c>
      <c r="AH45">
        <v>1.2777777779999999</v>
      </c>
      <c r="AI45" t="s">
        <v>86</v>
      </c>
      <c r="AJ45" s="9">
        <v>6</v>
      </c>
      <c r="AK45">
        <v>14633</v>
      </c>
      <c r="AL45" s="33" t="s">
        <v>200</v>
      </c>
      <c r="AM45" t="s">
        <v>211</v>
      </c>
      <c r="AN45" t="s">
        <v>107</v>
      </c>
      <c r="AO45" t="s">
        <v>212</v>
      </c>
      <c r="AP45" t="s">
        <v>109</v>
      </c>
      <c r="AQ45">
        <v>56170</v>
      </c>
      <c r="AR45">
        <v>1104</v>
      </c>
      <c r="AS45">
        <v>962</v>
      </c>
      <c r="AT45">
        <v>142</v>
      </c>
      <c r="AU45">
        <v>198</v>
      </c>
      <c r="AV45">
        <v>207934</v>
      </c>
      <c r="AW45">
        <v>2176</v>
      </c>
      <c r="AX45">
        <v>72529</v>
      </c>
      <c r="AY45">
        <v>35</v>
      </c>
      <c r="AZ45">
        <v>54890</v>
      </c>
      <c r="BA45">
        <v>0.64600000000000002</v>
      </c>
      <c r="BB45">
        <v>0.9</v>
      </c>
    </row>
    <row r="46" spans="1:54" x14ac:dyDescent="0.3">
      <c r="A46" s="6">
        <v>7</v>
      </c>
      <c r="B46" s="16">
        <v>8</v>
      </c>
      <c r="C46" s="7" t="str">
        <f t="shared" si="1"/>
        <v>7_8</v>
      </c>
      <c r="D46" s="8" t="s">
        <v>158</v>
      </c>
      <c r="E46" s="19">
        <v>1</v>
      </c>
      <c r="F46" s="19">
        <v>0</v>
      </c>
      <c r="G46" s="19">
        <v>2</v>
      </c>
      <c r="H46" t="s">
        <v>44</v>
      </c>
      <c r="I46" t="s">
        <v>182</v>
      </c>
      <c r="J46">
        <v>4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0</v>
      </c>
      <c r="R46">
        <v>1</v>
      </c>
      <c r="S46">
        <v>1</v>
      </c>
      <c r="T46">
        <v>0</v>
      </c>
      <c r="U46">
        <v>0</v>
      </c>
      <c r="V46">
        <v>1</v>
      </c>
      <c r="W46">
        <v>1</v>
      </c>
      <c r="X46">
        <v>0</v>
      </c>
      <c r="Y46">
        <v>1</v>
      </c>
      <c r="Z46">
        <v>1</v>
      </c>
      <c r="AA46">
        <v>5</v>
      </c>
      <c r="AB46">
        <v>2</v>
      </c>
      <c r="AC46">
        <v>4</v>
      </c>
      <c r="AD46">
        <v>11</v>
      </c>
      <c r="AE46">
        <v>4.1666666670000003</v>
      </c>
      <c r="AF46">
        <v>2</v>
      </c>
      <c r="AG46">
        <v>4</v>
      </c>
      <c r="AH46">
        <v>3.388888889</v>
      </c>
      <c r="AI46" t="s">
        <v>185</v>
      </c>
      <c r="AJ46" s="2">
        <v>7</v>
      </c>
      <c r="AK46">
        <v>14664</v>
      </c>
      <c r="AL46" s="33" t="s">
        <v>200</v>
      </c>
      <c r="AM46" t="s">
        <v>203</v>
      </c>
      <c r="AN46" t="s">
        <v>107</v>
      </c>
      <c r="AO46" t="s">
        <v>204</v>
      </c>
      <c r="AP46" t="s">
        <v>109</v>
      </c>
      <c r="AQ46">
        <v>46120</v>
      </c>
      <c r="AR46">
        <v>1652</v>
      </c>
      <c r="AS46">
        <v>1504</v>
      </c>
      <c r="AT46">
        <v>148</v>
      </c>
      <c r="AU46">
        <v>192</v>
      </c>
      <c r="AV46">
        <v>112197</v>
      </c>
      <c r="AW46">
        <v>2184</v>
      </c>
      <c r="AX46">
        <v>30777</v>
      </c>
      <c r="AY46">
        <v>27</v>
      </c>
      <c r="AZ46">
        <v>54890</v>
      </c>
      <c r="BA46">
        <v>0.64600000000000002</v>
      </c>
      <c r="BB46">
        <v>0.9</v>
      </c>
    </row>
    <row r="47" spans="1:54" x14ac:dyDescent="0.3">
      <c r="A47" s="6">
        <v>7</v>
      </c>
      <c r="B47" s="16">
        <v>9</v>
      </c>
      <c r="C47" s="7" t="str">
        <f t="shared" si="1"/>
        <v>7_9</v>
      </c>
      <c r="D47" s="8" t="s">
        <v>159</v>
      </c>
      <c r="E47" s="19">
        <v>0</v>
      </c>
      <c r="F47" s="19">
        <v>0</v>
      </c>
      <c r="G47" s="19">
        <v>2</v>
      </c>
      <c r="H47" t="s">
        <v>44</v>
      </c>
      <c r="I47" t="s">
        <v>186</v>
      </c>
      <c r="J47">
        <v>1</v>
      </c>
      <c r="K47">
        <v>1</v>
      </c>
      <c r="L47">
        <v>0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4</v>
      </c>
      <c r="AB47">
        <v>0</v>
      </c>
      <c r="AC47">
        <v>2</v>
      </c>
      <c r="AD47">
        <v>6</v>
      </c>
      <c r="AE47">
        <v>3.3333333330000001</v>
      </c>
      <c r="AF47">
        <v>0</v>
      </c>
      <c r="AG47">
        <v>2</v>
      </c>
      <c r="AH47">
        <v>1.7777777779999999</v>
      </c>
      <c r="AI47" t="s">
        <v>86</v>
      </c>
      <c r="AJ47" s="9">
        <v>8</v>
      </c>
      <c r="AK47">
        <v>14649</v>
      </c>
      <c r="AL47" s="33" t="s">
        <v>200</v>
      </c>
      <c r="AM47" t="s">
        <v>213</v>
      </c>
      <c r="AN47" t="s">
        <v>107</v>
      </c>
      <c r="AO47" t="s">
        <v>214</v>
      </c>
      <c r="AP47" t="s">
        <v>109</v>
      </c>
      <c r="AQ47">
        <v>51220</v>
      </c>
      <c r="AR47">
        <v>1642</v>
      </c>
      <c r="AS47">
        <v>1411</v>
      </c>
      <c r="AT47">
        <v>232</v>
      </c>
      <c r="AU47">
        <v>290</v>
      </c>
      <c r="AV47">
        <v>108124</v>
      </c>
      <c r="AW47">
        <v>2180</v>
      </c>
      <c r="AX47">
        <v>26538</v>
      </c>
      <c r="AY47">
        <v>25</v>
      </c>
      <c r="AZ47">
        <v>54890</v>
      </c>
      <c r="BA47">
        <v>0.64600000000000002</v>
      </c>
      <c r="BB47">
        <v>0.9</v>
      </c>
    </row>
    <row r="48" spans="1:54" x14ac:dyDescent="0.3">
      <c r="A48" s="6">
        <v>7</v>
      </c>
      <c r="B48" s="16">
        <v>10</v>
      </c>
      <c r="C48" s="7" t="str">
        <f t="shared" si="1"/>
        <v>7_10</v>
      </c>
      <c r="D48" s="8" t="s">
        <v>160</v>
      </c>
      <c r="E48" s="19">
        <v>0</v>
      </c>
      <c r="F48" s="19">
        <v>0</v>
      </c>
      <c r="G48" s="19">
        <v>1</v>
      </c>
      <c r="H48" t="s">
        <v>43</v>
      </c>
      <c r="I48" t="s">
        <v>182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1</v>
      </c>
      <c r="AB48">
        <v>1</v>
      </c>
      <c r="AC48">
        <v>2</v>
      </c>
      <c r="AD48">
        <v>4</v>
      </c>
      <c r="AE48">
        <v>0.83333333300000001</v>
      </c>
      <c r="AF48">
        <v>1</v>
      </c>
      <c r="AG48">
        <v>2</v>
      </c>
      <c r="AH48">
        <v>1.2777777779999999</v>
      </c>
      <c r="AI48" t="s">
        <v>86</v>
      </c>
      <c r="AJ48" s="9">
        <v>9</v>
      </c>
      <c r="AK48">
        <v>14628</v>
      </c>
      <c r="AL48" s="33" t="s">
        <v>200</v>
      </c>
      <c r="AM48" t="s">
        <v>215</v>
      </c>
      <c r="AN48" t="s">
        <v>107</v>
      </c>
      <c r="AO48" t="s">
        <v>216</v>
      </c>
      <c r="AP48" t="s">
        <v>109</v>
      </c>
      <c r="AQ48">
        <v>55100</v>
      </c>
      <c r="AR48">
        <v>1810</v>
      </c>
      <c r="AS48">
        <v>1563</v>
      </c>
      <c r="AT48">
        <v>247</v>
      </c>
      <c r="AU48">
        <v>323</v>
      </c>
      <c r="AV48">
        <v>163461</v>
      </c>
      <c r="AW48">
        <v>2175</v>
      </c>
      <c r="AX48">
        <v>33311</v>
      </c>
      <c r="AY48">
        <v>20</v>
      </c>
      <c r="AZ48">
        <v>54890</v>
      </c>
      <c r="BA48">
        <v>0.64600000000000002</v>
      </c>
      <c r="BB48">
        <v>0.9</v>
      </c>
    </row>
    <row r="49" spans="1:54" x14ac:dyDescent="0.3">
      <c r="A49" s="6">
        <v>7</v>
      </c>
      <c r="B49" s="16">
        <v>11</v>
      </c>
      <c r="C49" s="7" t="str">
        <f t="shared" si="1"/>
        <v>7_11</v>
      </c>
      <c r="D49" s="8" t="s">
        <v>161</v>
      </c>
      <c r="E49" s="19">
        <v>0</v>
      </c>
      <c r="F49" s="19">
        <v>1</v>
      </c>
      <c r="G49" s="19">
        <v>1</v>
      </c>
      <c r="H49" t="s">
        <v>42</v>
      </c>
      <c r="I49" t="s">
        <v>182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1</v>
      </c>
      <c r="AB49">
        <v>1</v>
      </c>
      <c r="AC49">
        <v>2</v>
      </c>
      <c r="AD49">
        <v>4</v>
      </c>
      <c r="AE49">
        <v>0.83333333300000001</v>
      </c>
      <c r="AF49">
        <v>1</v>
      </c>
      <c r="AG49">
        <v>2</v>
      </c>
      <c r="AH49">
        <v>1.2777777779999999</v>
      </c>
      <c r="AI49" t="s">
        <v>86</v>
      </c>
      <c r="AJ49" s="9">
        <v>10</v>
      </c>
      <c r="AK49">
        <v>14664</v>
      </c>
      <c r="AL49" s="33" t="s">
        <v>200</v>
      </c>
      <c r="AM49" t="s">
        <v>203</v>
      </c>
      <c r="AN49" t="s">
        <v>107</v>
      </c>
      <c r="AO49" t="s">
        <v>204</v>
      </c>
      <c r="AP49" t="s">
        <v>109</v>
      </c>
      <c r="AQ49">
        <v>46120</v>
      </c>
      <c r="AR49">
        <v>1652</v>
      </c>
      <c r="AS49">
        <v>1504</v>
      </c>
      <c r="AT49">
        <v>148</v>
      </c>
      <c r="AU49">
        <v>192</v>
      </c>
      <c r="AV49">
        <v>112197</v>
      </c>
      <c r="AW49">
        <v>2184</v>
      </c>
      <c r="AX49">
        <v>30777</v>
      </c>
      <c r="AY49">
        <v>27</v>
      </c>
      <c r="AZ49">
        <v>54890</v>
      </c>
      <c r="BA49">
        <v>0.64600000000000002</v>
      </c>
      <c r="BB49">
        <v>0.9</v>
      </c>
    </row>
    <row r="50" spans="1:54" s="5" customFormat="1" x14ac:dyDescent="0.3">
      <c r="A50" s="11">
        <v>7</v>
      </c>
      <c r="B50" s="18">
        <v>12</v>
      </c>
      <c r="C50" s="15" t="str">
        <f t="shared" si="1"/>
        <v>7_12</v>
      </c>
      <c r="D50" s="12" t="s">
        <v>162</v>
      </c>
      <c r="E50" s="21">
        <v>0</v>
      </c>
      <c r="F50" s="21">
        <v>0</v>
      </c>
      <c r="G50" s="21">
        <v>0</v>
      </c>
      <c r="H50" s="5" t="s">
        <v>86</v>
      </c>
      <c r="I50" s="5" t="s">
        <v>86</v>
      </c>
      <c r="J50" s="5" t="s">
        <v>86</v>
      </c>
      <c r="K50" s="5" t="s">
        <v>86</v>
      </c>
      <c r="L50" s="5" t="s">
        <v>86</v>
      </c>
      <c r="M50" s="5" t="s">
        <v>86</v>
      </c>
      <c r="N50" s="5" t="s">
        <v>86</v>
      </c>
      <c r="O50" s="5" t="s">
        <v>86</v>
      </c>
      <c r="P50" s="5" t="s">
        <v>86</v>
      </c>
      <c r="Q50" s="5" t="s">
        <v>86</v>
      </c>
      <c r="R50" s="5" t="s">
        <v>86</v>
      </c>
      <c r="S50" s="5" t="s">
        <v>86</v>
      </c>
      <c r="T50" s="5" t="s">
        <v>86</v>
      </c>
      <c r="U50" s="5" t="s">
        <v>86</v>
      </c>
      <c r="V50" s="5" t="s">
        <v>86</v>
      </c>
      <c r="W50" s="5" t="s">
        <v>86</v>
      </c>
      <c r="X50" s="5" t="s">
        <v>86</v>
      </c>
      <c r="Y50" s="5" t="s">
        <v>86</v>
      </c>
      <c r="Z50" s="5" t="s">
        <v>86</v>
      </c>
      <c r="AA50" s="5" t="s">
        <v>86</v>
      </c>
      <c r="AB50" s="5" t="s">
        <v>86</v>
      </c>
      <c r="AC50" s="5" t="s">
        <v>86</v>
      </c>
      <c r="AD50" s="5" t="s">
        <v>86</v>
      </c>
      <c r="AE50" s="5" t="s">
        <v>86</v>
      </c>
      <c r="AF50" s="5" t="s">
        <v>86</v>
      </c>
      <c r="AG50" s="5" t="s">
        <v>86</v>
      </c>
      <c r="AH50" s="5" t="s">
        <v>86</v>
      </c>
      <c r="AI50" s="5" t="s">
        <v>86</v>
      </c>
      <c r="AJ50" s="23">
        <v>11</v>
      </c>
      <c r="AK50" s="5">
        <v>14623</v>
      </c>
      <c r="AL50" s="34" t="s">
        <v>200</v>
      </c>
      <c r="AM50" s="5" t="s">
        <v>217</v>
      </c>
      <c r="AN50" s="5" t="s">
        <v>107</v>
      </c>
      <c r="AO50" s="5" t="s">
        <v>218</v>
      </c>
      <c r="AP50" s="5" t="s">
        <v>109</v>
      </c>
      <c r="AQ50" s="5">
        <v>50500</v>
      </c>
      <c r="AR50" s="5">
        <v>1332</v>
      </c>
      <c r="AS50" s="5">
        <v>1124</v>
      </c>
      <c r="AT50" s="5">
        <v>207</v>
      </c>
      <c r="AU50" s="5">
        <v>255</v>
      </c>
      <c r="AV50" s="5">
        <v>109166</v>
      </c>
      <c r="AW50" s="5">
        <v>2172</v>
      </c>
      <c r="AX50" s="5">
        <v>23839</v>
      </c>
      <c r="AY50" s="5">
        <v>22</v>
      </c>
      <c r="AZ50" s="5">
        <v>54890</v>
      </c>
      <c r="BA50" s="5">
        <v>0.64600000000000002</v>
      </c>
      <c r="BB50" s="5">
        <v>0.9</v>
      </c>
    </row>
    <row r="51" spans="1:54" x14ac:dyDescent="0.3">
      <c r="A51" s="6">
        <v>7</v>
      </c>
      <c r="B51" s="16">
        <v>13</v>
      </c>
      <c r="C51" s="7" t="str">
        <f t="shared" si="1"/>
        <v>7_13</v>
      </c>
      <c r="D51" s="8" t="s">
        <v>163</v>
      </c>
      <c r="E51" s="19">
        <v>0</v>
      </c>
      <c r="F51" s="19">
        <v>0</v>
      </c>
      <c r="G51" s="19">
        <v>2</v>
      </c>
      <c r="H51" t="s">
        <v>44</v>
      </c>
      <c r="I51" t="s">
        <v>184</v>
      </c>
      <c r="J51">
        <v>1</v>
      </c>
      <c r="K51">
        <v>1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4</v>
      </c>
      <c r="AB51">
        <v>0</v>
      </c>
      <c r="AC51">
        <v>2</v>
      </c>
      <c r="AD51">
        <v>6</v>
      </c>
      <c r="AE51">
        <v>3.3333333330000001</v>
      </c>
      <c r="AF51">
        <v>0</v>
      </c>
      <c r="AG51">
        <v>2</v>
      </c>
      <c r="AH51">
        <v>1.7777777779999999</v>
      </c>
      <c r="AI51" t="s">
        <v>86</v>
      </c>
      <c r="AJ51" s="9">
        <v>12</v>
      </c>
      <c r="AK51">
        <v>14663</v>
      </c>
      <c r="AL51">
        <v>75107</v>
      </c>
      <c r="AM51" s="33" t="s">
        <v>227</v>
      </c>
      <c r="AN51">
        <v>75</v>
      </c>
      <c r="AO51" t="s">
        <v>228</v>
      </c>
      <c r="AP51" t="s">
        <v>109</v>
      </c>
      <c r="AQ51">
        <v>68670</v>
      </c>
      <c r="AR51">
        <v>1795</v>
      </c>
      <c r="AS51">
        <v>1571</v>
      </c>
      <c r="AT51">
        <v>224</v>
      </c>
      <c r="AU51">
        <v>306</v>
      </c>
      <c r="AV51">
        <v>113308</v>
      </c>
      <c r="AW51">
        <v>2183</v>
      </c>
      <c r="AX51">
        <v>32100</v>
      </c>
      <c r="AY51">
        <v>28</v>
      </c>
      <c r="AZ51">
        <v>54890</v>
      </c>
      <c r="BA51">
        <v>0.64600000000000002</v>
      </c>
      <c r="BB51">
        <v>0.9</v>
      </c>
    </row>
    <row r="52" spans="1:54" s="5" customFormat="1" x14ac:dyDescent="0.3">
      <c r="A52" s="11">
        <v>7</v>
      </c>
      <c r="B52" s="18">
        <v>14</v>
      </c>
      <c r="C52" s="15" t="str">
        <f t="shared" si="1"/>
        <v>7_14</v>
      </c>
      <c r="D52" s="12" t="s">
        <v>164</v>
      </c>
      <c r="E52" s="21">
        <v>0</v>
      </c>
      <c r="F52" s="21">
        <v>1</v>
      </c>
      <c r="G52" s="21">
        <v>0</v>
      </c>
      <c r="H52" s="5" t="s">
        <v>86</v>
      </c>
      <c r="I52" s="5" t="s">
        <v>86</v>
      </c>
      <c r="J52" s="5" t="s">
        <v>86</v>
      </c>
      <c r="K52" s="5" t="s">
        <v>86</v>
      </c>
      <c r="L52" s="5" t="s">
        <v>86</v>
      </c>
      <c r="M52" s="5" t="s">
        <v>86</v>
      </c>
      <c r="N52" s="5" t="s">
        <v>86</v>
      </c>
      <c r="O52" s="5" t="s">
        <v>86</v>
      </c>
      <c r="P52" s="5" t="s">
        <v>86</v>
      </c>
      <c r="Q52" s="5" t="s">
        <v>86</v>
      </c>
      <c r="R52" s="5" t="s">
        <v>86</v>
      </c>
      <c r="S52" s="5" t="s">
        <v>86</v>
      </c>
      <c r="T52" s="5" t="s">
        <v>86</v>
      </c>
      <c r="U52" s="5" t="s">
        <v>86</v>
      </c>
      <c r="V52" s="5" t="s">
        <v>86</v>
      </c>
      <c r="W52" s="5" t="s">
        <v>86</v>
      </c>
      <c r="X52" s="5" t="s">
        <v>86</v>
      </c>
      <c r="Y52" s="5" t="s">
        <v>86</v>
      </c>
      <c r="Z52" s="5" t="s">
        <v>86</v>
      </c>
      <c r="AA52" s="5" t="s">
        <v>86</v>
      </c>
      <c r="AB52" s="5" t="s">
        <v>86</v>
      </c>
      <c r="AC52" s="5" t="s">
        <v>86</v>
      </c>
      <c r="AD52" s="5" t="s">
        <v>86</v>
      </c>
      <c r="AE52" s="5" t="s">
        <v>86</v>
      </c>
      <c r="AF52" s="5" t="s">
        <v>86</v>
      </c>
      <c r="AG52" s="5" t="s">
        <v>86</v>
      </c>
      <c r="AH52" s="5" t="s">
        <v>86</v>
      </c>
      <c r="AI52" s="5" t="s">
        <v>86</v>
      </c>
      <c r="AJ52" s="22">
        <v>13</v>
      </c>
      <c r="AK52" s="5">
        <v>14640</v>
      </c>
      <c r="AL52" s="34" t="s">
        <v>200</v>
      </c>
      <c r="AM52" s="5" t="s">
        <v>221</v>
      </c>
      <c r="AN52" s="5" t="s">
        <v>107</v>
      </c>
      <c r="AO52" s="5" t="s">
        <v>222</v>
      </c>
      <c r="AP52" s="5" t="s">
        <v>109</v>
      </c>
      <c r="AQ52" s="5">
        <v>58780</v>
      </c>
      <c r="AR52" s="5">
        <v>1176</v>
      </c>
      <c r="AS52" s="5">
        <v>992</v>
      </c>
      <c r="AT52" s="5">
        <v>185</v>
      </c>
      <c r="AU52" s="5">
        <v>251</v>
      </c>
      <c r="AV52" s="5">
        <v>159871</v>
      </c>
      <c r="AW52" s="5">
        <v>2178</v>
      </c>
      <c r="AX52" s="5">
        <v>26164</v>
      </c>
      <c r="AY52" s="5">
        <v>16</v>
      </c>
      <c r="AZ52" s="5">
        <v>54890</v>
      </c>
      <c r="BA52" s="5">
        <v>0.64600000000000002</v>
      </c>
      <c r="BB52" s="5">
        <v>0.9</v>
      </c>
    </row>
    <row r="53" spans="1:54" x14ac:dyDescent="0.3">
      <c r="A53" s="6">
        <v>7</v>
      </c>
      <c r="B53" s="16">
        <v>15</v>
      </c>
      <c r="C53" s="7" t="str">
        <f t="shared" si="1"/>
        <v>7_15</v>
      </c>
      <c r="D53" s="8" t="s">
        <v>165</v>
      </c>
      <c r="E53" s="19">
        <v>1</v>
      </c>
      <c r="F53" s="19">
        <v>0</v>
      </c>
      <c r="G53" s="19">
        <v>2</v>
      </c>
      <c r="H53" t="s">
        <v>44</v>
      </c>
      <c r="I53" t="s">
        <v>184</v>
      </c>
      <c r="J53">
        <v>3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0</v>
      </c>
      <c r="R53">
        <v>0</v>
      </c>
      <c r="S53">
        <v>1</v>
      </c>
      <c r="T53">
        <v>0</v>
      </c>
      <c r="U53">
        <v>0</v>
      </c>
      <c r="V53">
        <v>1</v>
      </c>
      <c r="W53">
        <v>1</v>
      </c>
      <c r="X53">
        <v>0</v>
      </c>
      <c r="Y53">
        <v>1</v>
      </c>
      <c r="Z53">
        <v>1</v>
      </c>
      <c r="AA53">
        <v>6</v>
      </c>
      <c r="AB53">
        <v>1</v>
      </c>
      <c r="AC53">
        <v>4</v>
      </c>
      <c r="AD53">
        <v>11</v>
      </c>
      <c r="AE53">
        <v>5</v>
      </c>
      <c r="AF53">
        <v>1</v>
      </c>
      <c r="AG53">
        <v>4</v>
      </c>
      <c r="AH53">
        <v>3.3333333330000001</v>
      </c>
      <c r="AI53" t="s">
        <v>86</v>
      </c>
      <c r="AJ53" s="9">
        <v>14</v>
      </c>
      <c r="AK53">
        <v>14689</v>
      </c>
      <c r="AL53">
        <v>75107</v>
      </c>
      <c r="AM53" s="33" t="s">
        <v>238</v>
      </c>
      <c r="AN53">
        <v>75</v>
      </c>
      <c r="AO53" t="s">
        <v>239</v>
      </c>
      <c r="AP53" t="s">
        <v>109</v>
      </c>
      <c r="AQ53">
        <v>52430</v>
      </c>
      <c r="AR53">
        <v>1540</v>
      </c>
      <c r="AS53">
        <v>1297</v>
      </c>
      <c r="AT53">
        <v>243</v>
      </c>
      <c r="AU53">
        <v>327</v>
      </c>
      <c r="AV53">
        <v>125573</v>
      </c>
      <c r="AW53">
        <v>2193</v>
      </c>
      <c r="AX53">
        <v>30652</v>
      </c>
      <c r="AY53">
        <v>24</v>
      </c>
      <c r="AZ53">
        <v>54890</v>
      </c>
      <c r="BA53">
        <v>0.64600000000000002</v>
      </c>
      <c r="BB53">
        <v>0.9</v>
      </c>
    </row>
    <row r="54" spans="1:54" x14ac:dyDescent="0.3">
      <c r="A54" s="6">
        <v>7</v>
      </c>
      <c r="B54" s="16">
        <v>16</v>
      </c>
      <c r="C54" s="7" t="str">
        <f t="shared" si="1"/>
        <v>7_16</v>
      </c>
      <c r="D54" s="8" t="s">
        <v>166</v>
      </c>
      <c r="E54" s="19">
        <v>0</v>
      </c>
      <c r="F54" s="19">
        <v>0</v>
      </c>
      <c r="G54" s="19">
        <v>1</v>
      </c>
      <c r="H54" t="s">
        <v>43</v>
      </c>
      <c r="I54" t="s">
        <v>186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1</v>
      </c>
      <c r="AB54">
        <v>1</v>
      </c>
      <c r="AC54">
        <v>2</v>
      </c>
      <c r="AD54">
        <v>4</v>
      </c>
      <c r="AE54">
        <v>0.83333333300000001</v>
      </c>
      <c r="AF54">
        <v>1</v>
      </c>
      <c r="AG54">
        <v>2</v>
      </c>
      <c r="AH54">
        <v>1.2777777779999999</v>
      </c>
      <c r="AI54" t="s">
        <v>86</v>
      </c>
      <c r="AJ54" s="2">
        <v>15</v>
      </c>
      <c r="AK54">
        <v>14654</v>
      </c>
      <c r="AL54" s="33" t="s">
        <v>200</v>
      </c>
      <c r="AM54" t="s">
        <v>225</v>
      </c>
      <c r="AN54" t="s">
        <v>107</v>
      </c>
      <c r="AO54" t="s">
        <v>226</v>
      </c>
      <c r="AP54" t="s">
        <v>109</v>
      </c>
      <c r="AQ54">
        <v>66680</v>
      </c>
      <c r="AR54">
        <v>1753</v>
      </c>
      <c r="AS54">
        <v>1581</v>
      </c>
      <c r="AT54">
        <v>172</v>
      </c>
      <c r="AU54">
        <v>236</v>
      </c>
      <c r="AV54">
        <v>42730</v>
      </c>
      <c r="AW54">
        <v>2181</v>
      </c>
      <c r="AX54">
        <v>5444</v>
      </c>
      <c r="AY54">
        <v>13</v>
      </c>
      <c r="AZ54">
        <v>54890</v>
      </c>
      <c r="BA54">
        <v>0.64600000000000002</v>
      </c>
      <c r="BB54">
        <v>0.9</v>
      </c>
    </row>
    <row r="55" spans="1:54" x14ac:dyDescent="0.3">
      <c r="A55" s="6">
        <v>7</v>
      </c>
      <c r="B55" s="16">
        <v>17</v>
      </c>
      <c r="C55" s="7" t="str">
        <f t="shared" si="1"/>
        <v>7_17</v>
      </c>
      <c r="D55" s="8" t="s">
        <v>167</v>
      </c>
      <c r="E55" s="19">
        <v>1</v>
      </c>
      <c r="F55" s="19">
        <v>0</v>
      </c>
      <c r="G55" s="19">
        <v>2</v>
      </c>
      <c r="H55" t="s">
        <v>44</v>
      </c>
      <c r="I55" t="s">
        <v>182</v>
      </c>
      <c r="J55">
        <v>1</v>
      </c>
      <c r="K55">
        <v>1</v>
      </c>
      <c r="L55">
        <v>1</v>
      </c>
      <c r="M55">
        <v>0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1</v>
      </c>
      <c r="AA55">
        <v>4</v>
      </c>
      <c r="AB55">
        <v>0</v>
      </c>
      <c r="AC55">
        <v>5</v>
      </c>
      <c r="AD55">
        <v>9</v>
      </c>
      <c r="AE55">
        <v>3.3333333330000001</v>
      </c>
      <c r="AF55">
        <v>0</v>
      </c>
      <c r="AG55">
        <v>5</v>
      </c>
      <c r="AH55">
        <v>2.7777777779999999</v>
      </c>
      <c r="AI55" t="s">
        <v>187</v>
      </c>
      <c r="AJ55" s="9">
        <v>16</v>
      </c>
      <c r="AK55">
        <v>14663</v>
      </c>
      <c r="AL55" s="33" t="s">
        <v>200</v>
      </c>
      <c r="AM55" t="s">
        <v>227</v>
      </c>
      <c r="AN55" t="s">
        <v>107</v>
      </c>
      <c r="AO55" t="s">
        <v>228</v>
      </c>
      <c r="AP55" t="s">
        <v>109</v>
      </c>
      <c r="AQ55">
        <v>68670</v>
      </c>
      <c r="AR55">
        <v>1795</v>
      </c>
      <c r="AS55">
        <v>1571</v>
      </c>
      <c r="AT55">
        <v>224</v>
      </c>
      <c r="AU55">
        <v>306</v>
      </c>
      <c r="AV55">
        <v>113308</v>
      </c>
      <c r="AW55">
        <v>2183</v>
      </c>
      <c r="AX55">
        <v>32100</v>
      </c>
      <c r="AY55">
        <v>28</v>
      </c>
      <c r="AZ55">
        <v>54890</v>
      </c>
      <c r="BA55">
        <v>0.64600000000000002</v>
      </c>
      <c r="BB55">
        <v>0.9</v>
      </c>
    </row>
    <row r="56" spans="1:54" x14ac:dyDescent="0.3">
      <c r="A56" s="6">
        <v>7</v>
      </c>
      <c r="B56" s="16">
        <v>18</v>
      </c>
      <c r="C56" s="7" t="str">
        <f t="shared" si="1"/>
        <v>7_18</v>
      </c>
      <c r="D56" s="8" t="s">
        <v>168</v>
      </c>
      <c r="E56" s="19">
        <v>1</v>
      </c>
      <c r="F56" s="19">
        <v>0</v>
      </c>
      <c r="G56" s="19">
        <v>2</v>
      </c>
      <c r="H56" t="s">
        <v>44</v>
      </c>
      <c r="I56" t="s">
        <v>188</v>
      </c>
      <c r="J56">
        <v>2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1</v>
      </c>
      <c r="AA56">
        <v>5</v>
      </c>
      <c r="AB56">
        <v>2</v>
      </c>
      <c r="AC56">
        <v>3</v>
      </c>
      <c r="AD56">
        <v>10</v>
      </c>
      <c r="AE56">
        <v>4.1666666670000003</v>
      </c>
      <c r="AF56">
        <v>2</v>
      </c>
      <c r="AG56">
        <v>3</v>
      </c>
      <c r="AH56">
        <v>3.0555555559999998</v>
      </c>
      <c r="AI56" t="s">
        <v>86</v>
      </c>
      <c r="AJ56" s="9">
        <v>17</v>
      </c>
      <c r="AK56">
        <v>14663</v>
      </c>
      <c r="AL56" s="33" t="s">
        <v>200</v>
      </c>
      <c r="AM56" t="s">
        <v>227</v>
      </c>
      <c r="AN56" t="s">
        <v>107</v>
      </c>
      <c r="AO56" t="s">
        <v>228</v>
      </c>
      <c r="AP56" t="s">
        <v>109</v>
      </c>
      <c r="AQ56">
        <v>68670</v>
      </c>
      <c r="AR56">
        <v>1795</v>
      </c>
      <c r="AS56">
        <v>1571</v>
      </c>
      <c r="AT56">
        <v>224</v>
      </c>
      <c r="AU56">
        <v>306</v>
      </c>
      <c r="AV56">
        <v>113308</v>
      </c>
      <c r="AW56">
        <v>2183</v>
      </c>
      <c r="AX56">
        <v>32100</v>
      </c>
      <c r="AY56">
        <v>28</v>
      </c>
      <c r="AZ56">
        <v>54890</v>
      </c>
      <c r="BA56">
        <v>0.64600000000000002</v>
      </c>
      <c r="BB56">
        <v>0.9</v>
      </c>
    </row>
    <row r="57" spans="1:54" x14ac:dyDescent="0.3">
      <c r="A57" s="6">
        <v>7</v>
      </c>
      <c r="B57" s="16">
        <v>19</v>
      </c>
      <c r="C57" s="7" t="str">
        <f t="shared" si="1"/>
        <v>7_19</v>
      </c>
      <c r="D57" s="8" t="s">
        <v>169</v>
      </c>
      <c r="E57" s="19">
        <v>0</v>
      </c>
      <c r="F57" s="19">
        <v>1</v>
      </c>
      <c r="G57" s="19">
        <v>1</v>
      </c>
      <c r="H57" t="s">
        <v>42</v>
      </c>
      <c r="I57" t="s">
        <v>189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1</v>
      </c>
      <c r="AB57">
        <v>1</v>
      </c>
      <c r="AC57">
        <v>2</v>
      </c>
      <c r="AD57">
        <v>4</v>
      </c>
      <c r="AE57">
        <v>0.83333333300000001</v>
      </c>
      <c r="AF57">
        <v>1</v>
      </c>
      <c r="AG57">
        <v>2</v>
      </c>
      <c r="AH57">
        <v>1.2777777779999999</v>
      </c>
      <c r="AI57" t="s">
        <v>86</v>
      </c>
      <c r="AJ57" s="9">
        <v>18</v>
      </c>
      <c r="AK57">
        <v>14628</v>
      </c>
      <c r="AL57" s="33" t="s">
        <v>200</v>
      </c>
      <c r="AM57" t="s">
        <v>215</v>
      </c>
      <c r="AN57" t="s">
        <v>107</v>
      </c>
      <c r="AO57" t="s">
        <v>216</v>
      </c>
      <c r="AP57" t="s">
        <v>109</v>
      </c>
      <c r="AQ57">
        <v>55100</v>
      </c>
      <c r="AR57">
        <v>1810</v>
      </c>
      <c r="AS57">
        <v>1563</v>
      </c>
      <c r="AT57">
        <v>247</v>
      </c>
      <c r="AU57">
        <v>323</v>
      </c>
      <c r="AV57">
        <v>163461</v>
      </c>
      <c r="AW57">
        <v>2175</v>
      </c>
      <c r="AX57">
        <v>33311</v>
      </c>
      <c r="AY57">
        <v>20</v>
      </c>
      <c r="AZ57">
        <v>54890</v>
      </c>
      <c r="BA57">
        <v>0.64600000000000002</v>
      </c>
      <c r="BB57">
        <v>0.9</v>
      </c>
    </row>
    <row r="58" spans="1:54" x14ac:dyDescent="0.3">
      <c r="A58" s="6">
        <v>7</v>
      </c>
      <c r="B58" s="16">
        <v>20</v>
      </c>
      <c r="C58" s="7" t="str">
        <f t="shared" si="1"/>
        <v>7_20</v>
      </c>
      <c r="D58" s="8" t="s">
        <v>170</v>
      </c>
      <c r="E58" s="19">
        <v>0</v>
      </c>
      <c r="F58" s="19">
        <v>0</v>
      </c>
      <c r="G58" s="19">
        <v>1</v>
      </c>
      <c r="H58" t="s">
        <v>42</v>
      </c>
      <c r="I58" t="s">
        <v>186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1</v>
      </c>
      <c r="AA58">
        <v>1</v>
      </c>
      <c r="AB58">
        <v>1</v>
      </c>
      <c r="AC58">
        <v>3</v>
      </c>
      <c r="AD58">
        <v>5</v>
      </c>
      <c r="AE58">
        <v>0.83333333300000001</v>
      </c>
      <c r="AF58">
        <v>1</v>
      </c>
      <c r="AG58">
        <v>3</v>
      </c>
      <c r="AH58">
        <v>1.611111111</v>
      </c>
      <c r="AI58" t="s">
        <v>86</v>
      </c>
      <c r="AJ58" s="2">
        <v>19</v>
      </c>
      <c r="AK58">
        <v>14633</v>
      </c>
      <c r="AL58" s="33" t="s">
        <v>200</v>
      </c>
      <c r="AM58" t="s">
        <v>211</v>
      </c>
      <c r="AN58" t="s">
        <v>107</v>
      </c>
      <c r="AO58" t="s">
        <v>212</v>
      </c>
      <c r="AP58" t="s">
        <v>109</v>
      </c>
      <c r="AQ58">
        <v>56170</v>
      </c>
      <c r="AR58">
        <v>1104</v>
      </c>
      <c r="AS58">
        <v>962</v>
      </c>
      <c r="AT58">
        <v>142</v>
      </c>
      <c r="AU58">
        <v>198</v>
      </c>
      <c r="AV58">
        <v>207934</v>
      </c>
      <c r="AW58">
        <v>2176</v>
      </c>
      <c r="AX58">
        <v>72529</v>
      </c>
      <c r="AY58">
        <v>35</v>
      </c>
      <c r="AZ58">
        <v>54890</v>
      </c>
      <c r="BA58">
        <v>0.64600000000000002</v>
      </c>
      <c r="BB58">
        <v>0.9</v>
      </c>
    </row>
    <row r="59" spans="1:54" x14ac:dyDescent="0.3">
      <c r="A59" s="6">
        <v>7</v>
      </c>
      <c r="B59" s="16">
        <v>21</v>
      </c>
      <c r="C59" s="7" t="str">
        <f t="shared" si="1"/>
        <v>7_21</v>
      </c>
      <c r="D59" s="8" t="s">
        <v>171</v>
      </c>
      <c r="E59" s="19">
        <v>1</v>
      </c>
      <c r="F59" s="19">
        <v>0</v>
      </c>
      <c r="G59" s="19">
        <v>2</v>
      </c>
      <c r="H59" t="s">
        <v>43</v>
      </c>
      <c r="I59" t="s">
        <v>186</v>
      </c>
      <c r="J59">
        <v>3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1</v>
      </c>
      <c r="AA59">
        <v>6</v>
      </c>
      <c r="AB59">
        <v>1</v>
      </c>
      <c r="AC59">
        <v>2</v>
      </c>
      <c r="AD59">
        <v>9</v>
      </c>
      <c r="AE59">
        <v>5</v>
      </c>
      <c r="AF59">
        <v>1</v>
      </c>
      <c r="AG59">
        <v>2</v>
      </c>
      <c r="AH59">
        <v>2.6666666669999999</v>
      </c>
      <c r="AI59" t="s">
        <v>86</v>
      </c>
      <c r="AJ59" s="9">
        <v>20</v>
      </c>
      <c r="AK59">
        <v>14663</v>
      </c>
      <c r="AL59" s="33" t="s">
        <v>200</v>
      </c>
      <c r="AM59" t="s">
        <v>227</v>
      </c>
      <c r="AN59" t="s">
        <v>107</v>
      </c>
      <c r="AO59" t="s">
        <v>228</v>
      </c>
      <c r="AP59" t="s">
        <v>109</v>
      </c>
      <c r="AQ59">
        <v>68670</v>
      </c>
      <c r="AR59">
        <v>1795</v>
      </c>
      <c r="AS59">
        <v>1571</v>
      </c>
      <c r="AT59">
        <v>224</v>
      </c>
      <c r="AU59">
        <v>306</v>
      </c>
      <c r="AV59">
        <v>113308</v>
      </c>
      <c r="AW59">
        <v>2183</v>
      </c>
      <c r="AX59">
        <v>32100</v>
      </c>
      <c r="AY59">
        <v>28</v>
      </c>
      <c r="AZ59">
        <v>54890</v>
      </c>
      <c r="BA59">
        <v>0.64600000000000002</v>
      </c>
      <c r="BB59">
        <v>0.9</v>
      </c>
    </row>
    <row r="60" spans="1:54" x14ac:dyDescent="0.3">
      <c r="A60" s="6">
        <v>7</v>
      </c>
      <c r="B60" s="16">
        <v>22</v>
      </c>
      <c r="C60" s="7" t="str">
        <f t="shared" si="1"/>
        <v>7_22</v>
      </c>
      <c r="D60" s="8" t="s">
        <v>172</v>
      </c>
      <c r="E60" s="19">
        <v>0</v>
      </c>
      <c r="F60" s="19">
        <v>0</v>
      </c>
      <c r="G60" s="19">
        <v>1</v>
      </c>
      <c r="H60" t="s">
        <v>42</v>
      </c>
      <c r="I60" t="s">
        <v>186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1</v>
      </c>
      <c r="AB60">
        <v>1</v>
      </c>
      <c r="AC60">
        <v>2</v>
      </c>
      <c r="AD60">
        <v>4</v>
      </c>
      <c r="AE60">
        <v>0.83333333300000001</v>
      </c>
      <c r="AF60">
        <v>1</v>
      </c>
      <c r="AG60">
        <v>2</v>
      </c>
      <c r="AH60">
        <v>1.2777777779999999</v>
      </c>
      <c r="AI60" t="s">
        <v>190</v>
      </c>
      <c r="AJ60" s="9">
        <v>21</v>
      </c>
      <c r="AK60">
        <v>14688</v>
      </c>
      <c r="AL60" s="33" t="s">
        <v>200</v>
      </c>
      <c r="AM60" t="s">
        <v>207</v>
      </c>
      <c r="AN60" t="s">
        <v>107</v>
      </c>
      <c r="AO60" t="s">
        <v>208</v>
      </c>
      <c r="AP60" t="s">
        <v>109</v>
      </c>
      <c r="AQ60">
        <v>59570</v>
      </c>
      <c r="AR60">
        <v>1540</v>
      </c>
      <c r="AS60">
        <v>1357</v>
      </c>
      <c r="AT60">
        <v>182</v>
      </c>
      <c r="AU60">
        <v>225</v>
      </c>
      <c r="AV60">
        <v>59934</v>
      </c>
      <c r="AW60">
        <v>2192</v>
      </c>
      <c r="AX60">
        <v>7081</v>
      </c>
      <c r="AY60">
        <v>12</v>
      </c>
      <c r="AZ60">
        <v>54890</v>
      </c>
      <c r="BA60">
        <v>0.64600000000000002</v>
      </c>
      <c r="BB60">
        <v>0.9</v>
      </c>
    </row>
    <row r="61" spans="1:54" x14ac:dyDescent="0.3">
      <c r="A61" s="6">
        <v>7</v>
      </c>
      <c r="B61" s="16">
        <v>23</v>
      </c>
      <c r="C61" s="7" t="str">
        <f t="shared" si="1"/>
        <v>7_23</v>
      </c>
      <c r="D61" s="8" t="s">
        <v>173</v>
      </c>
      <c r="E61" s="19">
        <v>0</v>
      </c>
      <c r="F61" s="19">
        <v>1</v>
      </c>
      <c r="G61" s="19">
        <v>1</v>
      </c>
      <c r="H61" t="s">
        <v>191</v>
      </c>
      <c r="I61" t="s">
        <v>192</v>
      </c>
      <c r="J61">
        <v>2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1</v>
      </c>
      <c r="AA61">
        <v>2</v>
      </c>
      <c r="AB61">
        <v>1</v>
      </c>
      <c r="AC61">
        <v>3</v>
      </c>
      <c r="AD61">
        <v>6</v>
      </c>
      <c r="AE61">
        <v>1.6666666670000001</v>
      </c>
      <c r="AF61">
        <v>1</v>
      </c>
      <c r="AG61">
        <v>3</v>
      </c>
      <c r="AH61">
        <v>1.888888889</v>
      </c>
      <c r="AI61" t="s">
        <v>86</v>
      </c>
      <c r="AJ61" s="9">
        <v>22</v>
      </c>
      <c r="AK61">
        <v>14686</v>
      </c>
      <c r="AL61" s="33" t="s">
        <v>200</v>
      </c>
      <c r="AM61" t="s">
        <v>229</v>
      </c>
      <c r="AN61" t="s">
        <v>107</v>
      </c>
      <c r="AO61" t="s">
        <v>230</v>
      </c>
      <c r="AP61" t="s">
        <v>109</v>
      </c>
      <c r="AQ61">
        <v>77180</v>
      </c>
      <c r="AR61">
        <v>1785</v>
      </c>
      <c r="AS61">
        <v>1507</v>
      </c>
      <c r="AT61">
        <v>279</v>
      </c>
      <c r="AU61">
        <v>386</v>
      </c>
      <c r="AV61">
        <v>109694</v>
      </c>
      <c r="AW61">
        <v>2190</v>
      </c>
      <c r="AX61">
        <v>41984</v>
      </c>
      <c r="AY61">
        <v>38</v>
      </c>
      <c r="AZ61">
        <v>54890</v>
      </c>
      <c r="BA61">
        <v>0.64600000000000002</v>
      </c>
      <c r="BB61">
        <v>0.9</v>
      </c>
    </row>
    <row r="62" spans="1:54" x14ac:dyDescent="0.3">
      <c r="A62" s="6">
        <v>7</v>
      </c>
      <c r="B62" s="16">
        <v>24</v>
      </c>
      <c r="C62" s="7" t="str">
        <f t="shared" si="1"/>
        <v>7_24</v>
      </c>
      <c r="D62" s="8" t="s">
        <v>174</v>
      </c>
      <c r="E62" s="19">
        <v>0</v>
      </c>
      <c r="F62" s="19">
        <v>0</v>
      </c>
      <c r="G62" s="19">
        <v>1</v>
      </c>
      <c r="H62" t="s">
        <v>42</v>
      </c>
      <c r="I62" t="s">
        <v>186</v>
      </c>
      <c r="J62">
        <v>1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1</v>
      </c>
      <c r="Z62">
        <v>1</v>
      </c>
      <c r="AA62">
        <v>2</v>
      </c>
      <c r="AB62">
        <v>1</v>
      </c>
      <c r="AC62">
        <v>3</v>
      </c>
      <c r="AD62">
        <v>6</v>
      </c>
      <c r="AE62">
        <v>1.6666666670000001</v>
      </c>
      <c r="AF62">
        <v>1</v>
      </c>
      <c r="AG62">
        <v>3</v>
      </c>
      <c r="AH62">
        <v>1.888888889</v>
      </c>
      <c r="AI62" t="s">
        <v>86</v>
      </c>
      <c r="AJ62" s="2">
        <v>23</v>
      </c>
      <c r="AK62">
        <v>14640</v>
      </c>
      <c r="AL62" s="33" t="s">
        <v>200</v>
      </c>
      <c r="AM62" t="s">
        <v>221</v>
      </c>
      <c r="AN62" t="s">
        <v>107</v>
      </c>
      <c r="AO62" t="s">
        <v>222</v>
      </c>
      <c r="AP62" t="s">
        <v>109</v>
      </c>
      <c r="AQ62">
        <v>58780</v>
      </c>
      <c r="AR62">
        <v>1176</v>
      </c>
      <c r="AS62">
        <v>992</v>
      </c>
      <c r="AT62">
        <v>185</v>
      </c>
      <c r="AU62">
        <v>251</v>
      </c>
      <c r="AV62">
        <v>159871</v>
      </c>
      <c r="AW62">
        <v>2178</v>
      </c>
      <c r="AX62">
        <v>26164</v>
      </c>
      <c r="AY62">
        <v>16</v>
      </c>
      <c r="AZ62">
        <v>54890</v>
      </c>
      <c r="BA62">
        <v>0.64600000000000002</v>
      </c>
      <c r="BB62">
        <v>0.9</v>
      </c>
    </row>
    <row r="63" spans="1:54" x14ac:dyDescent="0.3">
      <c r="A63" s="6">
        <v>7</v>
      </c>
      <c r="B63" s="16">
        <v>25</v>
      </c>
      <c r="C63" s="7" t="str">
        <f t="shared" si="1"/>
        <v>7_25</v>
      </c>
      <c r="D63" s="8" t="s">
        <v>175</v>
      </c>
      <c r="E63" s="19">
        <v>1</v>
      </c>
      <c r="F63" s="19">
        <v>0</v>
      </c>
      <c r="G63" s="19">
        <v>2</v>
      </c>
      <c r="H63" t="s">
        <v>40</v>
      </c>
      <c r="I63" t="s">
        <v>184</v>
      </c>
      <c r="J63">
        <v>3</v>
      </c>
      <c r="K63">
        <v>1</v>
      </c>
      <c r="L63">
        <v>1</v>
      </c>
      <c r="M63">
        <v>1</v>
      </c>
      <c r="N63">
        <v>0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5</v>
      </c>
      <c r="AB63">
        <v>1</v>
      </c>
      <c r="AC63">
        <v>1</v>
      </c>
      <c r="AD63">
        <v>7</v>
      </c>
      <c r="AE63">
        <v>4.1666666670000003</v>
      </c>
      <c r="AF63">
        <v>1</v>
      </c>
      <c r="AG63">
        <v>1</v>
      </c>
      <c r="AH63">
        <v>2.0555555559999998</v>
      </c>
      <c r="AI63" t="s">
        <v>193</v>
      </c>
      <c r="AJ63" s="9">
        <v>24</v>
      </c>
      <c r="AK63">
        <v>14690</v>
      </c>
      <c r="AL63" s="33" t="s">
        <v>200</v>
      </c>
      <c r="AM63" t="s">
        <v>231</v>
      </c>
      <c r="AN63" t="s">
        <v>107</v>
      </c>
      <c r="AO63" t="s">
        <v>232</v>
      </c>
      <c r="AP63" t="s">
        <v>109</v>
      </c>
      <c r="AQ63">
        <v>45870</v>
      </c>
      <c r="AR63">
        <v>2708</v>
      </c>
      <c r="AS63">
        <v>2264</v>
      </c>
      <c r="AT63">
        <v>444</v>
      </c>
      <c r="AU63">
        <v>574</v>
      </c>
      <c r="AV63">
        <v>100288</v>
      </c>
      <c r="AW63">
        <v>2194</v>
      </c>
      <c r="AX63">
        <v>9777</v>
      </c>
      <c r="AY63">
        <v>10</v>
      </c>
      <c r="AZ63">
        <v>54890</v>
      </c>
      <c r="BA63">
        <v>0.64600000000000002</v>
      </c>
      <c r="BB63">
        <v>0.9</v>
      </c>
    </row>
    <row r="64" spans="1:54" x14ac:dyDescent="0.3">
      <c r="A64" s="6">
        <v>7</v>
      </c>
      <c r="B64" s="16">
        <v>26</v>
      </c>
      <c r="C64" s="7" t="str">
        <f t="shared" si="1"/>
        <v>7_26</v>
      </c>
      <c r="D64" s="8" t="s">
        <v>176</v>
      </c>
      <c r="E64" s="19">
        <v>1</v>
      </c>
      <c r="F64" s="19">
        <v>0</v>
      </c>
      <c r="G64" s="19">
        <v>2</v>
      </c>
      <c r="H64" t="s">
        <v>44</v>
      </c>
      <c r="I64" t="s">
        <v>194</v>
      </c>
      <c r="J64">
        <v>2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6</v>
      </c>
      <c r="AB64">
        <v>1</v>
      </c>
      <c r="AC64">
        <v>1</v>
      </c>
      <c r="AD64">
        <v>8</v>
      </c>
      <c r="AE64">
        <v>5</v>
      </c>
      <c r="AF64">
        <v>1</v>
      </c>
      <c r="AG64">
        <v>1</v>
      </c>
      <c r="AH64">
        <v>2.3333333330000001</v>
      </c>
      <c r="AI64" t="s">
        <v>86</v>
      </c>
      <c r="AJ64" s="9">
        <v>25</v>
      </c>
      <c r="AK64">
        <v>14687</v>
      </c>
      <c r="AL64" s="33" t="s">
        <v>200</v>
      </c>
      <c r="AM64" t="s">
        <v>233</v>
      </c>
      <c r="AN64" t="s">
        <v>107</v>
      </c>
      <c r="AO64" t="s">
        <v>234</v>
      </c>
      <c r="AP64" t="s">
        <v>109</v>
      </c>
      <c r="AQ64">
        <v>74290</v>
      </c>
      <c r="AR64">
        <v>1734</v>
      </c>
      <c r="AS64">
        <v>1498</v>
      </c>
      <c r="AT64">
        <v>237</v>
      </c>
      <c r="AU64">
        <v>337</v>
      </c>
      <c r="AV64">
        <v>107901</v>
      </c>
      <c r="AW64">
        <v>2191</v>
      </c>
      <c r="AX64">
        <v>39473</v>
      </c>
      <c r="AY64">
        <v>37</v>
      </c>
      <c r="AZ64">
        <v>54890</v>
      </c>
      <c r="BA64">
        <v>0.64600000000000002</v>
      </c>
      <c r="BB64">
        <v>0.9</v>
      </c>
    </row>
    <row r="65" spans="1:54" x14ac:dyDescent="0.3">
      <c r="A65" s="6">
        <v>7</v>
      </c>
      <c r="B65" s="16">
        <v>27</v>
      </c>
      <c r="C65" s="7" t="str">
        <f t="shared" si="1"/>
        <v>7_27</v>
      </c>
      <c r="D65" s="8" t="s">
        <v>177</v>
      </c>
      <c r="E65" s="19">
        <v>1</v>
      </c>
      <c r="F65" s="19">
        <v>1</v>
      </c>
      <c r="G65" s="19">
        <v>2</v>
      </c>
      <c r="H65" t="s">
        <v>44</v>
      </c>
      <c r="I65" t="s">
        <v>194</v>
      </c>
      <c r="J65">
        <v>3</v>
      </c>
      <c r="K65">
        <v>1</v>
      </c>
      <c r="L65">
        <v>1</v>
      </c>
      <c r="M65">
        <v>1</v>
      </c>
      <c r="N65">
        <v>1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1</v>
      </c>
      <c r="AA65">
        <v>5</v>
      </c>
      <c r="AB65">
        <v>1</v>
      </c>
      <c r="AC65">
        <v>3</v>
      </c>
      <c r="AD65">
        <v>9</v>
      </c>
      <c r="AE65">
        <v>4.1666666670000003</v>
      </c>
      <c r="AF65">
        <v>1</v>
      </c>
      <c r="AG65">
        <v>3</v>
      </c>
      <c r="AH65">
        <v>2.7222222220000001</v>
      </c>
      <c r="AI65" t="s">
        <v>86</v>
      </c>
      <c r="AJ65" s="9">
        <v>26</v>
      </c>
      <c r="AK65">
        <v>14687</v>
      </c>
      <c r="AL65" s="33" t="s">
        <v>200</v>
      </c>
      <c r="AM65" t="s">
        <v>233</v>
      </c>
      <c r="AN65" t="s">
        <v>107</v>
      </c>
      <c r="AO65" t="s">
        <v>234</v>
      </c>
      <c r="AP65" t="s">
        <v>109</v>
      </c>
      <c r="AQ65">
        <v>74290</v>
      </c>
      <c r="AR65">
        <v>1734</v>
      </c>
      <c r="AS65">
        <v>1498</v>
      </c>
      <c r="AT65">
        <v>237</v>
      </c>
      <c r="AU65">
        <v>337</v>
      </c>
      <c r="AV65">
        <v>107901</v>
      </c>
      <c r="AW65">
        <v>2191</v>
      </c>
      <c r="AX65">
        <v>39473</v>
      </c>
      <c r="AY65">
        <v>37</v>
      </c>
      <c r="AZ65">
        <v>54890</v>
      </c>
      <c r="BA65">
        <v>0.64600000000000002</v>
      </c>
      <c r="BB65">
        <v>0.9</v>
      </c>
    </row>
    <row r="66" spans="1:54" s="5" customFormat="1" x14ac:dyDescent="0.3">
      <c r="A66" s="11">
        <v>7</v>
      </c>
      <c r="B66" s="18">
        <v>28</v>
      </c>
      <c r="C66" s="15" t="str">
        <f t="shared" si="1"/>
        <v>7_28</v>
      </c>
      <c r="D66" s="12" t="s">
        <v>178</v>
      </c>
      <c r="E66" s="21">
        <v>0</v>
      </c>
      <c r="F66" s="21">
        <v>0</v>
      </c>
      <c r="G66" s="21">
        <v>0</v>
      </c>
      <c r="H66" s="5" t="s">
        <v>86</v>
      </c>
      <c r="I66" s="5" t="s">
        <v>86</v>
      </c>
      <c r="J66" s="5" t="s">
        <v>86</v>
      </c>
      <c r="K66" s="5" t="s">
        <v>86</v>
      </c>
      <c r="L66" s="5" t="s">
        <v>86</v>
      </c>
      <c r="M66" s="5" t="s">
        <v>86</v>
      </c>
      <c r="N66" s="5" t="s">
        <v>86</v>
      </c>
      <c r="O66" s="5" t="s">
        <v>86</v>
      </c>
      <c r="P66" s="5" t="s">
        <v>86</v>
      </c>
      <c r="Q66" s="5" t="s">
        <v>86</v>
      </c>
      <c r="R66" s="5" t="s">
        <v>86</v>
      </c>
      <c r="S66" s="5" t="s">
        <v>86</v>
      </c>
      <c r="T66" s="5" t="s">
        <v>86</v>
      </c>
      <c r="U66" s="5" t="s">
        <v>86</v>
      </c>
      <c r="V66" s="5" t="s">
        <v>86</v>
      </c>
      <c r="W66" s="5" t="s">
        <v>86</v>
      </c>
      <c r="X66" s="5" t="s">
        <v>86</v>
      </c>
      <c r="Y66" s="5" t="s">
        <v>86</v>
      </c>
      <c r="Z66" s="5" t="s">
        <v>86</v>
      </c>
      <c r="AA66" s="5" t="s">
        <v>86</v>
      </c>
      <c r="AB66" s="5" t="s">
        <v>86</v>
      </c>
      <c r="AC66" s="5" t="s">
        <v>86</v>
      </c>
      <c r="AD66" s="5" t="s">
        <v>86</v>
      </c>
      <c r="AE66" s="5" t="s">
        <v>86</v>
      </c>
      <c r="AF66" s="5" t="s">
        <v>86</v>
      </c>
      <c r="AG66" s="5" t="s">
        <v>86</v>
      </c>
      <c r="AH66" s="5" t="s">
        <v>86</v>
      </c>
      <c r="AI66" s="5" t="s">
        <v>195</v>
      </c>
      <c r="AJ66" s="23">
        <v>27</v>
      </c>
      <c r="AK66" s="5">
        <v>14568</v>
      </c>
      <c r="AL66" s="34" t="s">
        <v>235</v>
      </c>
      <c r="AM66" s="5" t="s">
        <v>236</v>
      </c>
      <c r="AN66" s="5" t="s">
        <v>107</v>
      </c>
      <c r="AO66" s="5" t="s">
        <v>237</v>
      </c>
      <c r="AP66" s="5" t="s">
        <v>109</v>
      </c>
      <c r="AQ66" s="5">
        <v>39660</v>
      </c>
      <c r="AR66" s="5">
        <v>2249</v>
      </c>
      <c r="AS66" s="5">
        <v>1902</v>
      </c>
      <c r="AT66" s="5">
        <v>347</v>
      </c>
      <c r="AU66" s="5">
        <v>478</v>
      </c>
      <c r="AV66" s="5">
        <v>80930</v>
      </c>
      <c r="AW66" s="5">
        <v>2164</v>
      </c>
      <c r="AX66" s="5">
        <v>6875</v>
      </c>
      <c r="AY66" s="5">
        <v>8</v>
      </c>
      <c r="AZ66" s="5">
        <v>47878</v>
      </c>
      <c r="BA66" s="5">
        <v>0.67</v>
      </c>
      <c r="BB66" s="5">
        <v>1.1000000000000001</v>
      </c>
    </row>
    <row r="67" spans="1:54" x14ac:dyDescent="0.3">
      <c r="A67" s="6">
        <v>7</v>
      </c>
      <c r="B67" s="16">
        <v>29</v>
      </c>
      <c r="C67" s="7" t="str">
        <f t="shared" si="1"/>
        <v>7_29</v>
      </c>
      <c r="D67" s="8" t="s">
        <v>179</v>
      </c>
      <c r="E67" s="19">
        <v>0</v>
      </c>
      <c r="F67" s="19">
        <v>0</v>
      </c>
      <c r="G67" s="19">
        <v>1</v>
      </c>
      <c r="H67" t="s">
        <v>43</v>
      </c>
      <c r="I67" t="s">
        <v>51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1</v>
      </c>
      <c r="AA67">
        <v>1</v>
      </c>
      <c r="AB67">
        <v>1</v>
      </c>
      <c r="AC67">
        <v>2</v>
      </c>
      <c r="AD67">
        <v>4</v>
      </c>
      <c r="AE67">
        <v>0.83333333300000001</v>
      </c>
      <c r="AF67">
        <v>1</v>
      </c>
      <c r="AG67">
        <v>2</v>
      </c>
      <c r="AH67">
        <v>1.2777777779999999</v>
      </c>
      <c r="AI67" t="s">
        <v>196</v>
      </c>
      <c r="AJ67" s="9">
        <v>28</v>
      </c>
      <c r="AK67">
        <v>14689</v>
      </c>
      <c r="AL67" s="33" t="s">
        <v>200</v>
      </c>
      <c r="AM67" t="s">
        <v>238</v>
      </c>
      <c r="AN67" t="s">
        <v>107</v>
      </c>
      <c r="AO67" t="s">
        <v>239</v>
      </c>
      <c r="AP67" t="s">
        <v>109</v>
      </c>
      <c r="AQ67">
        <v>52430</v>
      </c>
      <c r="AR67">
        <v>1540</v>
      </c>
      <c r="AS67">
        <v>1297</v>
      </c>
      <c r="AT67">
        <v>243</v>
      </c>
      <c r="AU67">
        <v>327</v>
      </c>
      <c r="AV67">
        <v>125573</v>
      </c>
      <c r="AW67">
        <v>2193</v>
      </c>
      <c r="AX67">
        <v>30652</v>
      </c>
      <c r="AY67">
        <v>24</v>
      </c>
      <c r="AZ67">
        <v>54890</v>
      </c>
      <c r="BA67">
        <v>0.64600000000000002</v>
      </c>
      <c r="BB67">
        <v>0.9</v>
      </c>
    </row>
    <row r="68" spans="1:54" s="5" customFormat="1" x14ac:dyDescent="0.3">
      <c r="A68" s="11">
        <v>7</v>
      </c>
      <c r="B68" s="18">
        <v>30</v>
      </c>
      <c r="C68" s="15" t="str">
        <f t="shared" si="1"/>
        <v>7_30</v>
      </c>
      <c r="D68" s="12" t="s">
        <v>180</v>
      </c>
      <c r="E68" s="21">
        <v>0</v>
      </c>
      <c r="F68" s="21">
        <v>0</v>
      </c>
      <c r="G68" s="21">
        <v>0</v>
      </c>
      <c r="H68" s="5" t="s">
        <v>86</v>
      </c>
      <c r="I68" s="5" t="s">
        <v>86</v>
      </c>
      <c r="J68" s="5" t="s">
        <v>86</v>
      </c>
      <c r="K68" s="5" t="s">
        <v>86</v>
      </c>
      <c r="L68" s="5" t="s">
        <v>86</v>
      </c>
      <c r="M68" s="5" t="s">
        <v>86</v>
      </c>
      <c r="N68" s="5" t="s">
        <v>86</v>
      </c>
      <c r="O68" s="5" t="s">
        <v>86</v>
      </c>
      <c r="P68" s="5" t="s">
        <v>86</v>
      </c>
      <c r="Q68" s="5" t="s">
        <v>86</v>
      </c>
      <c r="R68" s="5" t="s">
        <v>86</v>
      </c>
      <c r="S68" s="5" t="s">
        <v>86</v>
      </c>
      <c r="T68" s="5" t="s">
        <v>86</v>
      </c>
      <c r="U68" s="5" t="s">
        <v>86</v>
      </c>
      <c r="V68" s="5" t="s">
        <v>86</v>
      </c>
      <c r="W68" s="5" t="s">
        <v>86</v>
      </c>
      <c r="X68" s="5" t="s">
        <v>86</v>
      </c>
      <c r="Y68" s="5" t="s">
        <v>86</v>
      </c>
      <c r="Z68" s="5" t="s">
        <v>86</v>
      </c>
      <c r="AA68" s="5" t="s">
        <v>86</v>
      </c>
      <c r="AB68" s="5" t="s">
        <v>86</v>
      </c>
      <c r="AC68" s="5" t="s">
        <v>86</v>
      </c>
      <c r="AD68" s="5" t="s">
        <v>86</v>
      </c>
      <c r="AE68" s="5" t="s">
        <v>86</v>
      </c>
      <c r="AF68" s="5" t="s">
        <v>86</v>
      </c>
      <c r="AG68" s="5" t="s">
        <v>86</v>
      </c>
      <c r="AH68" s="5" t="s">
        <v>86</v>
      </c>
      <c r="AI68" s="5" t="s">
        <v>86</v>
      </c>
      <c r="AJ68" s="22">
        <v>29</v>
      </c>
      <c r="AK68" s="5">
        <v>14628</v>
      </c>
      <c r="AL68" s="34" t="s">
        <v>200</v>
      </c>
      <c r="AM68" s="5" t="s">
        <v>215</v>
      </c>
      <c r="AN68" s="5" t="s">
        <v>107</v>
      </c>
      <c r="AO68" s="5" t="s">
        <v>216</v>
      </c>
      <c r="AP68" s="5" t="s">
        <v>109</v>
      </c>
      <c r="AQ68" s="5">
        <v>55100</v>
      </c>
      <c r="AR68" s="5">
        <v>1810</v>
      </c>
      <c r="AS68" s="5">
        <v>1563</v>
      </c>
      <c r="AT68" s="5">
        <v>247</v>
      </c>
      <c r="AU68" s="5">
        <v>323</v>
      </c>
      <c r="AV68" s="5">
        <v>163461</v>
      </c>
      <c r="AW68" s="5">
        <v>2175</v>
      </c>
      <c r="AX68" s="5">
        <v>33311</v>
      </c>
      <c r="AY68" s="5">
        <v>20</v>
      </c>
      <c r="AZ68" s="5">
        <v>54890</v>
      </c>
      <c r="BA68" s="5">
        <v>0.64600000000000002</v>
      </c>
      <c r="BB68" s="5">
        <v>0.9</v>
      </c>
    </row>
    <row r="69" spans="1:54" x14ac:dyDescent="0.3">
      <c r="A69" t="s">
        <v>263</v>
      </c>
      <c r="B69" s="16">
        <v>1</v>
      </c>
      <c r="C69" s="7" t="str">
        <f t="shared" si="1"/>
        <v>NEU_1</v>
      </c>
      <c r="D69" s="8" t="s">
        <v>240</v>
      </c>
      <c r="E69" s="19">
        <v>0</v>
      </c>
      <c r="F69" s="19">
        <v>0</v>
      </c>
      <c r="G69" s="19">
        <v>1</v>
      </c>
      <c r="H69" t="s">
        <v>42</v>
      </c>
      <c r="I69" t="s">
        <v>264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1</v>
      </c>
      <c r="AA69">
        <v>1</v>
      </c>
      <c r="AB69">
        <v>1</v>
      </c>
      <c r="AC69">
        <v>2</v>
      </c>
      <c r="AD69">
        <v>4</v>
      </c>
      <c r="AE69">
        <v>0.83333333300000001</v>
      </c>
      <c r="AF69">
        <v>1</v>
      </c>
      <c r="AG69">
        <v>2</v>
      </c>
      <c r="AH69">
        <v>1.2777777779999999</v>
      </c>
      <c r="AI69" t="s">
        <v>86</v>
      </c>
      <c r="AJ69" s="9">
        <v>0</v>
      </c>
      <c r="AK69">
        <v>4235</v>
      </c>
      <c r="AL69" s="33" t="s">
        <v>271</v>
      </c>
      <c r="AM69" t="s">
        <v>272</v>
      </c>
      <c r="AN69" t="s">
        <v>273</v>
      </c>
      <c r="AO69" t="s">
        <v>274</v>
      </c>
      <c r="AP69" t="s">
        <v>109</v>
      </c>
      <c r="AQ69">
        <v>62880</v>
      </c>
      <c r="AR69">
        <v>2134</v>
      </c>
      <c r="AS69">
        <v>1925</v>
      </c>
      <c r="AT69">
        <v>209</v>
      </c>
      <c r="AU69">
        <v>297</v>
      </c>
      <c r="AV69">
        <v>118342</v>
      </c>
      <c r="AW69">
        <v>410</v>
      </c>
      <c r="AX69">
        <v>52740</v>
      </c>
      <c r="AY69">
        <v>45</v>
      </c>
      <c r="AZ69">
        <v>56445</v>
      </c>
      <c r="BA69">
        <v>0.53400000000000003</v>
      </c>
      <c r="BB69">
        <v>1.3</v>
      </c>
    </row>
    <row r="70" spans="1:54" x14ac:dyDescent="0.3">
      <c r="A70" t="s">
        <v>263</v>
      </c>
      <c r="B70" s="16">
        <v>2</v>
      </c>
      <c r="C70" s="7" t="str">
        <f t="shared" si="1"/>
        <v>NEU_2</v>
      </c>
      <c r="D70" s="8" t="s">
        <v>241</v>
      </c>
      <c r="E70" s="19">
        <v>1</v>
      </c>
      <c r="F70" s="19">
        <v>0</v>
      </c>
      <c r="G70" s="19">
        <v>2</v>
      </c>
      <c r="H70" t="s">
        <v>44</v>
      </c>
      <c r="I70" t="s">
        <v>41</v>
      </c>
      <c r="J70">
        <v>3</v>
      </c>
      <c r="K70">
        <v>1</v>
      </c>
      <c r="L70">
        <v>1</v>
      </c>
      <c r="M70">
        <v>1</v>
      </c>
      <c r="N70">
        <v>1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1</v>
      </c>
      <c r="AA70">
        <v>5</v>
      </c>
      <c r="AB70">
        <v>1</v>
      </c>
      <c r="AC70">
        <v>2</v>
      </c>
      <c r="AD70">
        <v>8</v>
      </c>
      <c r="AE70">
        <v>4.1666666670000003</v>
      </c>
      <c r="AF70">
        <v>1</v>
      </c>
      <c r="AG70">
        <v>2</v>
      </c>
      <c r="AH70">
        <v>2.388888889</v>
      </c>
      <c r="AI70" t="s">
        <v>86</v>
      </c>
      <c r="AJ70" s="9">
        <v>1</v>
      </c>
      <c r="AK70">
        <v>10730</v>
      </c>
      <c r="AL70" s="33" t="s">
        <v>271</v>
      </c>
      <c r="AM70" t="s">
        <v>275</v>
      </c>
      <c r="AN70" t="s">
        <v>273</v>
      </c>
      <c r="AO70" t="s">
        <v>276</v>
      </c>
      <c r="AP70" t="s">
        <v>109</v>
      </c>
      <c r="AQ70">
        <v>51610</v>
      </c>
      <c r="AR70">
        <v>2109</v>
      </c>
      <c r="AS70">
        <v>1890</v>
      </c>
      <c r="AT70">
        <v>218</v>
      </c>
      <c r="AU70">
        <v>306</v>
      </c>
      <c r="AV70">
        <v>68717</v>
      </c>
      <c r="AW70">
        <v>1576</v>
      </c>
      <c r="AX70">
        <v>8573</v>
      </c>
      <c r="AY70">
        <v>12</v>
      </c>
      <c r="AZ70">
        <v>56445</v>
      </c>
      <c r="BA70">
        <v>0.53400000000000003</v>
      </c>
      <c r="BB70">
        <v>1.3</v>
      </c>
    </row>
    <row r="71" spans="1:54" x14ac:dyDescent="0.3">
      <c r="A71" t="s">
        <v>263</v>
      </c>
      <c r="B71" s="16">
        <v>3</v>
      </c>
      <c r="C71" s="7" t="str">
        <f t="shared" si="1"/>
        <v>NEU_3</v>
      </c>
      <c r="D71" s="8" t="s">
        <v>242</v>
      </c>
      <c r="E71" s="19">
        <v>0</v>
      </c>
      <c r="F71" s="19">
        <v>1</v>
      </c>
      <c r="G71" s="19">
        <v>1</v>
      </c>
      <c r="H71" t="s">
        <v>40</v>
      </c>
      <c r="I71" t="s">
        <v>41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>
        <v>1</v>
      </c>
      <c r="AB71">
        <v>1</v>
      </c>
      <c r="AC71">
        <v>2</v>
      </c>
      <c r="AD71">
        <v>4</v>
      </c>
      <c r="AE71">
        <v>0.83333333300000001</v>
      </c>
      <c r="AF71">
        <v>1</v>
      </c>
      <c r="AG71">
        <v>2</v>
      </c>
      <c r="AH71">
        <v>1.2777777779999999</v>
      </c>
      <c r="AI71" t="s">
        <v>86</v>
      </c>
      <c r="AJ71" s="9">
        <v>2</v>
      </c>
      <c r="AK71">
        <v>11075</v>
      </c>
      <c r="AL71" s="33" t="s">
        <v>271</v>
      </c>
      <c r="AM71" t="s">
        <v>277</v>
      </c>
      <c r="AN71" t="s">
        <v>273</v>
      </c>
      <c r="AO71" t="s">
        <v>278</v>
      </c>
      <c r="AP71" t="s">
        <v>109</v>
      </c>
      <c r="AQ71">
        <v>50580</v>
      </c>
      <c r="AR71">
        <v>2061</v>
      </c>
      <c r="AS71">
        <v>1819</v>
      </c>
      <c r="AT71">
        <v>241</v>
      </c>
      <c r="AU71">
        <v>325</v>
      </c>
      <c r="AV71">
        <v>89738</v>
      </c>
      <c r="AW71">
        <v>1653</v>
      </c>
      <c r="AX71">
        <v>7181</v>
      </c>
      <c r="AY71">
        <v>8</v>
      </c>
      <c r="AZ71">
        <v>56445</v>
      </c>
      <c r="BA71">
        <v>0.53400000000000003</v>
      </c>
      <c r="BB71">
        <v>1.3</v>
      </c>
    </row>
    <row r="72" spans="1:54" x14ac:dyDescent="0.3">
      <c r="A72" t="s">
        <v>263</v>
      </c>
      <c r="B72" s="16">
        <v>4</v>
      </c>
      <c r="C72" s="7" t="str">
        <f t="shared" si="1"/>
        <v>NEU_4</v>
      </c>
      <c r="D72" s="8" t="s">
        <v>243</v>
      </c>
      <c r="E72" s="19">
        <v>1</v>
      </c>
      <c r="F72" s="19">
        <v>0</v>
      </c>
      <c r="G72" s="19">
        <v>2</v>
      </c>
      <c r="H72" t="s">
        <v>40</v>
      </c>
      <c r="I72" t="s">
        <v>265</v>
      </c>
      <c r="J72">
        <v>2</v>
      </c>
      <c r="K72">
        <v>1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1</v>
      </c>
      <c r="Y72">
        <v>0</v>
      </c>
      <c r="Z72">
        <v>1</v>
      </c>
      <c r="AA72">
        <v>3</v>
      </c>
      <c r="AB72">
        <v>0</v>
      </c>
      <c r="AC72">
        <v>3</v>
      </c>
      <c r="AD72">
        <v>6</v>
      </c>
      <c r="AE72">
        <v>2.5</v>
      </c>
      <c r="AF72">
        <v>0</v>
      </c>
      <c r="AG72">
        <v>3</v>
      </c>
      <c r="AH72">
        <v>1.8333333329999999</v>
      </c>
      <c r="AI72" t="s">
        <v>86</v>
      </c>
      <c r="AJ72" s="9">
        <v>3</v>
      </c>
      <c r="AK72">
        <v>11247</v>
      </c>
      <c r="AL72" s="33" t="s">
        <v>271</v>
      </c>
      <c r="AM72" t="s">
        <v>279</v>
      </c>
      <c r="AN72" t="s">
        <v>273</v>
      </c>
      <c r="AO72" t="s">
        <v>280</v>
      </c>
      <c r="AP72" t="s">
        <v>109</v>
      </c>
      <c r="AQ72">
        <v>51700</v>
      </c>
      <c r="AR72">
        <v>2003</v>
      </c>
      <c r="AS72">
        <v>1806</v>
      </c>
      <c r="AT72">
        <v>197</v>
      </c>
      <c r="AU72">
        <v>288</v>
      </c>
      <c r="AV72">
        <v>109566</v>
      </c>
      <c r="AW72">
        <v>1680</v>
      </c>
      <c r="AX72">
        <v>49806</v>
      </c>
      <c r="AY72">
        <v>45</v>
      </c>
      <c r="AZ72">
        <v>56445</v>
      </c>
      <c r="BA72">
        <v>0.53400000000000003</v>
      </c>
      <c r="BB72">
        <v>1.3</v>
      </c>
    </row>
    <row r="73" spans="1:54" s="5" customFormat="1" x14ac:dyDescent="0.3">
      <c r="A73" s="5" t="s">
        <v>263</v>
      </c>
      <c r="B73" s="18">
        <v>5</v>
      </c>
      <c r="C73" s="15" t="str">
        <f t="shared" si="1"/>
        <v>NEU_5</v>
      </c>
      <c r="D73" s="12" t="s">
        <v>244</v>
      </c>
      <c r="E73" s="21">
        <v>0</v>
      </c>
      <c r="F73" s="21">
        <v>0</v>
      </c>
      <c r="G73" s="21">
        <v>0</v>
      </c>
      <c r="H73" s="5" t="s">
        <v>86</v>
      </c>
      <c r="I73" s="5" t="s">
        <v>86</v>
      </c>
      <c r="J73" s="5" t="s">
        <v>86</v>
      </c>
      <c r="K73" s="5" t="s">
        <v>86</v>
      </c>
      <c r="L73" s="5" t="s">
        <v>86</v>
      </c>
      <c r="M73" s="5" t="s">
        <v>86</v>
      </c>
      <c r="N73" s="5" t="s">
        <v>86</v>
      </c>
      <c r="O73" s="5" t="s">
        <v>86</v>
      </c>
      <c r="P73" s="5" t="s">
        <v>86</v>
      </c>
      <c r="Q73" s="5" t="s">
        <v>86</v>
      </c>
      <c r="R73" s="5" t="s">
        <v>86</v>
      </c>
      <c r="S73" s="5" t="s">
        <v>86</v>
      </c>
      <c r="T73" s="5" t="s">
        <v>86</v>
      </c>
      <c r="U73" s="5" t="s">
        <v>86</v>
      </c>
      <c r="V73" s="5" t="s">
        <v>86</v>
      </c>
      <c r="W73" s="5" t="s">
        <v>86</v>
      </c>
      <c r="X73" s="5" t="s">
        <v>86</v>
      </c>
      <c r="Y73" s="5" t="s">
        <v>86</v>
      </c>
      <c r="Z73" s="5" t="s">
        <v>86</v>
      </c>
      <c r="AA73" s="5" t="s">
        <v>86</v>
      </c>
      <c r="AB73" s="5" t="s">
        <v>86</v>
      </c>
      <c r="AC73" s="5" t="s">
        <v>86</v>
      </c>
      <c r="AD73" s="5" t="s">
        <v>86</v>
      </c>
      <c r="AE73" s="5" t="s">
        <v>86</v>
      </c>
      <c r="AF73" s="5" t="s">
        <v>86</v>
      </c>
      <c r="AG73" s="5" t="s">
        <v>86</v>
      </c>
      <c r="AH73" s="5" t="s">
        <v>86</v>
      </c>
      <c r="AI73" s="5" t="s">
        <v>86</v>
      </c>
      <c r="AJ73" s="23">
        <v>4</v>
      </c>
      <c r="AK73" s="5">
        <v>10730</v>
      </c>
      <c r="AL73" s="34" t="s">
        <v>271</v>
      </c>
      <c r="AM73" s="5" t="s">
        <v>275</v>
      </c>
      <c r="AN73" s="5" t="s">
        <v>273</v>
      </c>
      <c r="AO73" s="5" t="s">
        <v>276</v>
      </c>
      <c r="AP73" s="5" t="s">
        <v>109</v>
      </c>
      <c r="AQ73" s="5">
        <v>51610</v>
      </c>
      <c r="AR73" s="5">
        <v>2109</v>
      </c>
      <c r="AS73" s="5">
        <v>1890</v>
      </c>
      <c r="AT73" s="5">
        <v>218</v>
      </c>
      <c r="AU73" s="5">
        <v>306</v>
      </c>
      <c r="AV73" s="5">
        <v>68717</v>
      </c>
      <c r="AW73" s="5">
        <v>1576</v>
      </c>
      <c r="AX73" s="5">
        <v>8573</v>
      </c>
      <c r="AY73" s="5">
        <v>12</v>
      </c>
      <c r="AZ73" s="5">
        <v>56445</v>
      </c>
      <c r="BA73" s="5">
        <v>0.53400000000000003</v>
      </c>
      <c r="BB73" s="5">
        <v>1.3</v>
      </c>
    </row>
    <row r="74" spans="1:54" x14ac:dyDescent="0.3">
      <c r="A74" t="s">
        <v>263</v>
      </c>
      <c r="B74" s="16">
        <v>6</v>
      </c>
      <c r="C74" s="7" t="str">
        <f t="shared" si="1"/>
        <v>NEU_6</v>
      </c>
      <c r="D74" s="8" t="s">
        <v>245</v>
      </c>
      <c r="E74" s="19">
        <v>1</v>
      </c>
      <c r="F74" s="19">
        <v>0</v>
      </c>
      <c r="G74" s="19">
        <v>2</v>
      </c>
      <c r="H74" t="s">
        <v>44</v>
      </c>
      <c r="I74" t="s">
        <v>41</v>
      </c>
      <c r="J74">
        <v>3</v>
      </c>
      <c r="K74">
        <v>1</v>
      </c>
      <c r="L74">
        <v>1</v>
      </c>
      <c r="M74">
        <v>1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1</v>
      </c>
      <c r="AA74">
        <v>5</v>
      </c>
      <c r="AB74">
        <v>0</v>
      </c>
      <c r="AC74">
        <v>2</v>
      </c>
      <c r="AD74">
        <v>7</v>
      </c>
      <c r="AE74">
        <v>4.1666666670000003</v>
      </c>
      <c r="AF74">
        <v>0</v>
      </c>
      <c r="AG74">
        <v>2</v>
      </c>
      <c r="AH74">
        <v>2.0555555559999998</v>
      </c>
      <c r="AI74" t="s">
        <v>86</v>
      </c>
      <c r="AJ74" s="9">
        <v>5</v>
      </c>
      <c r="AK74">
        <v>6415</v>
      </c>
      <c r="AL74" s="33" t="s">
        <v>271</v>
      </c>
      <c r="AM74" t="s">
        <v>281</v>
      </c>
      <c r="AN74" t="s">
        <v>273</v>
      </c>
      <c r="AO74" t="s">
        <v>282</v>
      </c>
      <c r="AP74" t="s">
        <v>109</v>
      </c>
      <c r="AQ74">
        <v>62260</v>
      </c>
      <c r="AR74">
        <v>2522</v>
      </c>
      <c r="AS74">
        <v>2203</v>
      </c>
      <c r="AT74">
        <v>319</v>
      </c>
      <c r="AU74">
        <v>411</v>
      </c>
      <c r="AV74">
        <v>191687</v>
      </c>
      <c r="AW74">
        <v>647</v>
      </c>
      <c r="AX74">
        <v>58842</v>
      </c>
      <c r="AY74">
        <v>31</v>
      </c>
      <c r="AZ74">
        <v>56445</v>
      </c>
      <c r="BA74">
        <v>0.53400000000000003</v>
      </c>
      <c r="BB74">
        <v>1.3</v>
      </c>
    </row>
    <row r="75" spans="1:54" x14ac:dyDescent="0.3">
      <c r="A75" t="s">
        <v>263</v>
      </c>
      <c r="B75" s="16">
        <v>7</v>
      </c>
      <c r="C75" s="7" t="str">
        <f t="shared" si="1"/>
        <v>NEU_7</v>
      </c>
      <c r="D75" s="8" t="s">
        <v>246</v>
      </c>
      <c r="E75" s="19">
        <v>1</v>
      </c>
      <c r="F75" s="19">
        <v>0</v>
      </c>
      <c r="G75" s="19">
        <v>2</v>
      </c>
      <c r="H75" t="s">
        <v>44</v>
      </c>
      <c r="I75" t="s">
        <v>266</v>
      </c>
      <c r="J75">
        <v>3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1</v>
      </c>
      <c r="AA75">
        <v>6</v>
      </c>
      <c r="AB75">
        <v>0</v>
      </c>
      <c r="AC75">
        <v>2</v>
      </c>
      <c r="AD75">
        <v>8</v>
      </c>
      <c r="AE75">
        <v>5</v>
      </c>
      <c r="AF75">
        <v>0</v>
      </c>
      <c r="AG75">
        <v>2</v>
      </c>
      <c r="AH75">
        <v>2.3333333330000001</v>
      </c>
      <c r="AI75" t="s">
        <v>86</v>
      </c>
      <c r="AJ75" s="9">
        <v>6</v>
      </c>
      <c r="AK75">
        <v>11247</v>
      </c>
      <c r="AL75" s="33" t="s">
        <v>271</v>
      </c>
      <c r="AM75" t="s">
        <v>279</v>
      </c>
      <c r="AN75" t="s">
        <v>273</v>
      </c>
      <c r="AO75" t="s">
        <v>280</v>
      </c>
      <c r="AP75" t="s">
        <v>109</v>
      </c>
      <c r="AQ75">
        <v>51700</v>
      </c>
      <c r="AR75">
        <v>2003</v>
      </c>
      <c r="AS75">
        <v>1806</v>
      </c>
      <c r="AT75">
        <v>197</v>
      </c>
      <c r="AU75">
        <v>288</v>
      </c>
      <c r="AV75">
        <v>109566</v>
      </c>
      <c r="AW75">
        <v>1680</v>
      </c>
      <c r="AX75">
        <v>49806</v>
      </c>
      <c r="AY75">
        <v>45</v>
      </c>
      <c r="AZ75">
        <v>56445</v>
      </c>
      <c r="BA75">
        <v>0.53400000000000003</v>
      </c>
      <c r="BB75">
        <v>1.3</v>
      </c>
    </row>
    <row r="76" spans="1:54" x14ac:dyDescent="0.3">
      <c r="A76" t="s">
        <v>263</v>
      </c>
      <c r="B76" s="16">
        <v>8</v>
      </c>
      <c r="C76" s="7" t="str">
        <f t="shared" si="1"/>
        <v>NEU_8</v>
      </c>
      <c r="D76" s="8" t="s">
        <v>247</v>
      </c>
      <c r="E76" s="19">
        <v>1</v>
      </c>
      <c r="F76" s="19">
        <v>0</v>
      </c>
      <c r="G76" s="19">
        <v>2</v>
      </c>
      <c r="H76" t="s">
        <v>44</v>
      </c>
      <c r="I76" t="s">
        <v>267</v>
      </c>
      <c r="J76">
        <v>2</v>
      </c>
      <c r="K76">
        <v>1</v>
      </c>
      <c r="L76">
        <v>1</v>
      </c>
      <c r="M76">
        <v>1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</v>
      </c>
      <c r="W76">
        <v>0</v>
      </c>
      <c r="X76">
        <v>1</v>
      </c>
      <c r="Y76">
        <v>0</v>
      </c>
      <c r="Z76">
        <v>1</v>
      </c>
      <c r="AA76">
        <v>5</v>
      </c>
      <c r="AB76">
        <v>1</v>
      </c>
      <c r="AC76">
        <v>3</v>
      </c>
      <c r="AD76">
        <v>9</v>
      </c>
      <c r="AE76">
        <v>4.1666666670000003</v>
      </c>
      <c r="AF76">
        <v>1</v>
      </c>
      <c r="AG76">
        <v>3</v>
      </c>
      <c r="AH76">
        <v>2.7222222220000001</v>
      </c>
      <c r="AI76" t="s">
        <v>86</v>
      </c>
      <c r="AJ76" s="9">
        <v>7</v>
      </c>
      <c r="AK76">
        <v>11692</v>
      </c>
      <c r="AL76" s="33" t="s">
        <v>271</v>
      </c>
      <c r="AM76" t="s">
        <v>283</v>
      </c>
      <c r="AN76" t="s">
        <v>273</v>
      </c>
      <c r="AO76" t="s">
        <v>284</v>
      </c>
      <c r="AP76" t="s">
        <v>109</v>
      </c>
      <c r="AQ76">
        <v>49180</v>
      </c>
      <c r="AR76">
        <v>3076</v>
      </c>
      <c r="AS76">
        <v>2783</v>
      </c>
      <c r="AT76">
        <v>293</v>
      </c>
      <c r="AU76">
        <v>490</v>
      </c>
      <c r="AV76">
        <v>219912</v>
      </c>
      <c r="AW76">
        <v>1764</v>
      </c>
      <c r="AX76">
        <v>104324</v>
      </c>
      <c r="AY76">
        <v>47</v>
      </c>
      <c r="AZ76">
        <v>56445</v>
      </c>
      <c r="BA76">
        <v>0.53400000000000003</v>
      </c>
      <c r="BB76">
        <v>1.3</v>
      </c>
    </row>
    <row r="77" spans="1:54" x14ac:dyDescent="0.3">
      <c r="A77" t="s">
        <v>263</v>
      </c>
      <c r="B77" s="16">
        <v>9</v>
      </c>
      <c r="C77" s="7" t="str">
        <f t="shared" si="1"/>
        <v>NEU_9</v>
      </c>
      <c r="D77" s="8" t="s">
        <v>248</v>
      </c>
      <c r="E77" s="19">
        <v>1</v>
      </c>
      <c r="F77" s="19">
        <v>0</v>
      </c>
      <c r="G77" s="19">
        <v>2</v>
      </c>
      <c r="H77" t="s">
        <v>39</v>
      </c>
      <c r="I77" t="s">
        <v>41</v>
      </c>
      <c r="J77">
        <v>2</v>
      </c>
      <c r="K77">
        <v>1</v>
      </c>
      <c r="L77">
        <v>1</v>
      </c>
      <c r="M77">
        <v>1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1</v>
      </c>
      <c r="AA77">
        <v>5</v>
      </c>
      <c r="AB77">
        <v>0</v>
      </c>
      <c r="AC77">
        <v>2</v>
      </c>
      <c r="AD77">
        <v>7</v>
      </c>
      <c r="AE77">
        <v>4.1666666670000003</v>
      </c>
      <c r="AF77">
        <v>0</v>
      </c>
      <c r="AG77">
        <v>2</v>
      </c>
      <c r="AH77">
        <v>2.0555555559999998</v>
      </c>
      <c r="AI77" t="s">
        <v>86</v>
      </c>
      <c r="AJ77" s="9">
        <v>8</v>
      </c>
      <c r="AK77">
        <v>11021</v>
      </c>
      <c r="AL77" s="33" t="s">
        <v>271</v>
      </c>
      <c r="AM77" t="s">
        <v>285</v>
      </c>
      <c r="AN77" t="s">
        <v>273</v>
      </c>
      <c r="AO77" t="s">
        <v>286</v>
      </c>
      <c r="AP77" t="s">
        <v>109</v>
      </c>
      <c r="AQ77">
        <v>58030</v>
      </c>
      <c r="AR77">
        <v>2598</v>
      </c>
      <c r="AS77">
        <v>2319</v>
      </c>
      <c r="AT77">
        <v>279</v>
      </c>
      <c r="AU77">
        <v>385</v>
      </c>
      <c r="AV77">
        <v>129656</v>
      </c>
      <c r="AW77">
        <v>1636</v>
      </c>
      <c r="AX77">
        <v>25692</v>
      </c>
      <c r="AY77">
        <v>20</v>
      </c>
      <c r="AZ77">
        <v>56445</v>
      </c>
      <c r="BA77">
        <v>0.53400000000000003</v>
      </c>
      <c r="BB77">
        <v>1.3</v>
      </c>
    </row>
    <row r="78" spans="1:54" x14ac:dyDescent="0.3">
      <c r="A78" t="s">
        <v>263</v>
      </c>
      <c r="B78" s="16">
        <v>10</v>
      </c>
      <c r="C78" s="7" t="str">
        <f t="shared" si="1"/>
        <v>NEU_10</v>
      </c>
      <c r="D78" s="8" t="s">
        <v>249</v>
      </c>
      <c r="E78" s="19">
        <v>1</v>
      </c>
      <c r="F78" s="19">
        <v>0</v>
      </c>
      <c r="G78" s="19">
        <v>2</v>
      </c>
      <c r="H78" t="s">
        <v>40</v>
      </c>
      <c r="I78" t="s">
        <v>264</v>
      </c>
      <c r="J78">
        <v>2</v>
      </c>
      <c r="K78">
        <v>1</v>
      </c>
      <c r="L78">
        <v>1</v>
      </c>
      <c r="M78">
        <v>0</v>
      </c>
      <c r="N78">
        <v>0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4</v>
      </c>
      <c r="AB78">
        <v>0</v>
      </c>
      <c r="AC78">
        <v>1</v>
      </c>
      <c r="AD78">
        <v>5</v>
      </c>
      <c r="AE78">
        <v>3.3333333330000001</v>
      </c>
      <c r="AF78">
        <v>0</v>
      </c>
      <c r="AG78">
        <v>1</v>
      </c>
      <c r="AH78">
        <v>1.4444444439999999</v>
      </c>
      <c r="AI78" t="s">
        <v>86</v>
      </c>
      <c r="AJ78" s="9">
        <v>9</v>
      </c>
      <c r="AK78">
        <v>11247</v>
      </c>
      <c r="AL78" s="33" t="s">
        <v>271</v>
      </c>
      <c r="AM78" t="s">
        <v>279</v>
      </c>
      <c r="AN78" t="s">
        <v>273</v>
      </c>
      <c r="AO78" t="s">
        <v>280</v>
      </c>
      <c r="AP78" t="s">
        <v>109</v>
      </c>
      <c r="AQ78">
        <v>51700</v>
      </c>
      <c r="AR78">
        <v>2003</v>
      </c>
      <c r="AS78">
        <v>1806</v>
      </c>
      <c r="AT78">
        <v>197</v>
      </c>
      <c r="AU78">
        <v>288</v>
      </c>
      <c r="AV78">
        <v>109566</v>
      </c>
      <c r="AW78">
        <v>1680</v>
      </c>
      <c r="AX78">
        <v>49806</v>
      </c>
      <c r="AY78">
        <v>45</v>
      </c>
      <c r="AZ78">
        <v>56445</v>
      </c>
      <c r="BA78">
        <v>0.53400000000000003</v>
      </c>
      <c r="BB78">
        <v>1.3</v>
      </c>
    </row>
    <row r="79" spans="1:54" s="5" customFormat="1" x14ac:dyDescent="0.3">
      <c r="A79" s="5" t="s">
        <v>263</v>
      </c>
      <c r="B79" s="18">
        <v>11</v>
      </c>
      <c r="C79" s="15" t="str">
        <f t="shared" si="1"/>
        <v>NEU_11</v>
      </c>
      <c r="D79" s="12" t="s">
        <v>250</v>
      </c>
      <c r="E79" s="21">
        <v>0</v>
      </c>
      <c r="F79" s="21">
        <v>1</v>
      </c>
      <c r="G79" s="21">
        <v>0</v>
      </c>
      <c r="H79" s="5" t="s">
        <v>86</v>
      </c>
      <c r="I79" s="5" t="s">
        <v>86</v>
      </c>
      <c r="J79" s="5" t="s">
        <v>86</v>
      </c>
      <c r="K79" s="5" t="s">
        <v>86</v>
      </c>
      <c r="L79" s="5" t="s">
        <v>86</v>
      </c>
      <c r="M79" s="5" t="s">
        <v>86</v>
      </c>
      <c r="N79" s="5" t="s">
        <v>86</v>
      </c>
      <c r="O79" s="5" t="s">
        <v>86</v>
      </c>
      <c r="P79" s="5" t="s">
        <v>86</v>
      </c>
      <c r="Q79" s="5" t="s">
        <v>86</v>
      </c>
      <c r="R79" s="5" t="s">
        <v>86</v>
      </c>
      <c r="S79" s="5" t="s">
        <v>86</v>
      </c>
      <c r="T79" s="5" t="s">
        <v>86</v>
      </c>
      <c r="U79" s="5" t="s">
        <v>86</v>
      </c>
      <c r="V79" s="5" t="s">
        <v>86</v>
      </c>
      <c r="W79" s="5" t="s">
        <v>86</v>
      </c>
      <c r="X79" s="5" t="s">
        <v>86</v>
      </c>
      <c r="Y79" s="5" t="s">
        <v>86</v>
      </c>
      <c r="Z79" s="5" t="s">
        <v>86</v>
      </c>
      <c r="AA79" s="5" t="s">
        <v>86</v>
      </c>
      <c r="AB79" s="5" t="s">
        <v>86</v>
      </c>
      <c r="AC79" s="5" t="s">
        <v>86</v>
      </c>
      <c r="AD79" s="5" t="s">
        <v>86</v>
      </c>
      <c r="AE79" s="5" t="s">
        <v>86</v>
      </c>
      <c r="AF79" s="5" t="s">
        <v>86</v>
      </c>
      <c r="AG79" s="5" t="s">
        <v>86</v>
      </c>
      <c r="AH79" s="5" t="s">
        <v>86</v>
      </c>
      <c r="AI79" s="5" t="s">
        <v>86</v>
      </c>
      <c r="AJ79" s="23">
        <v>10</v>
      </c>
      <c r="AK79" s="5">
        <v>2582</v>
      </c>
      <c r="AL79" s="34" t="s">
        <v>271</v>
      </c>
      <c r="AM79" s="5" t="s">
        <v>287</v>
      </c>
      <c r="AN79" s="5" t="s">
        <v>273</v>
      </c>
      <c r="AO79" s="5" t="s">
        <v>288</v>
      </c>
      <c r="AP79" s="5" t="s">
        <v>109</v>
      </c>
      <c r="AQ79" s="5">
        <v>75050</v>
      </c>
      <c r="AR79" s="5">
        <v>2272</v>
      </c>
      <c r="AS79" s="5">
        <v>1921</v>
      </c>
      <c r="AT79" s="5">
        <v>352</v>
      </c>
      <c r="AU79" s="5">
        <v>499</v>
      </c>
      <c r="AV79" s="5">
        <v>216546</v>
      </c>
      <c r="AW79" s="5">
        <v>283</v>
      </c>
      <c r="AX79" s="5">
        <v>102819</v>
      </c>
      <c r="AY79" s="5">
        <v>47</v>
      </c>
      <c r="AZ79" s="5">
        <v>56445</v>
      </c>
      <c r="BA79" s="5">
        <v>0.53400000000000003</v>
      </c>
      <c r="BB79" s="5">
        <v>1.3</v>
      </c>
    </row>
    <row r="80" spans="1:54" x14ac:dyDescent="0.3">
      <c r="A80" t="s">
        <v>263</v>
      </c>
      <c r="B80" s="16">
        <v>12</v>
      </c>
      <c r="C80" s="7" t="str">
        <f t="shared" si="1"/>
        <v>NEU_12</v>
      </c>
      <c r="D80" s="8" t="s">
        <v>251</v>
      </c>
      <c r="E80" s="19">
        <v>0</v>
      </c>
      <c r="F80" s="19">
        <v>0</v>
      </c>
      <c r="G80" s="19">
        <v>2</v>
      </c>
      <c r="H80" t="s">
        <v>40</v>
      </c>
      <c r="I80" t="s">
        <v>268</v>
      </c>
      <c r="J80">
        <v>1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</v>
      </c>
      <c r="AB80">
        <v>0</v>
      </c>
      <c r="AC80">
        <v>1</v>
      </c>
      <c r="AD80">
        <v>2</v>
      </c>
      <c r="AE80">
        <v>0.83333333300000001</v>
      </c>
      <c r="AF80">
        <v>0</v>
      </c>
      <c r="AG80">
        <v>1</v>
      </c>
      <c r="AH80">
        <v>0.61111111100000004</v>
      </c>
      <c r="AI80" t="s">
        <v>86</v>
      </c>
      <c r="AJ80" s="9">
        <v>11</v>
      </c>
      <c r="AK80">
        <v>11075</v>
      </c>
      <c r="AL80" s="33" t="s">
        <v>271</v>
      </c>
      <c r="AM80" t="s">
        <v>277</v>
      </c>
      <c r="AN80" t="s">
        <v>273</v>
      </c>
      <c r="AO80" t="s">
        <v>278</v>
      </c>
      <c r="AP80" t="s">
        <v>109</v>
      </c>
      <c r="AQ80">
        <v>50580</v>
      </c>
      <c r="AR80">
        <v>2061</v>
      </c>
      <c r="AS80">
        <v>1819</v>
      </c>
      <c r="AT80">
        <v>241</v>
      </c>
      <c r="AU80">
        <v>325</v>
      </c>
      <c r="AV80">
        <v>89738</v>
      </c>
      <c r="AW80">
        <v>1653</v>
      </c>
      <c r="AX80">
        <v>7181</v>
      </c>
      <c r="AY80">
        <v>8</v>
      </c>
      <c r="AZ80">
        <v>56445</v>
      </c>
      <c r="BA80">
        <v>0.53400000000000003</v>
      </c>
      <c r="BB80">
        <v>1.3</v>
      </c>
    </row>
    <row r="81" spans="1:54" x14ac:dyDescent="0.3">
      <c r="A81" t="s">
        <v>263</v>
      </c>
      <c r="B81" s="16">
        <v>13</v>
      </c>
      <c r="C81" s="7" t="str">
        <f t="shared" si="1"/>
        <v>NEU_13</v>
      </c>
      <c r="D81" s="8" t="s">
        <v>252</v>
      </c>
      <c r="E81" s="19">
        <v>1</v>
      </c>
      <c r="F81" s="19">
        <v>0</v>
      </c>
      <c r="G81" s="19">
        <v>2</v>
      </c>
      <c r="H81" t="s">
        <v>43</v>
      </c>
      <c r="I81" t="s">
        <v>267</v>
      </c>
      <c r="J81">
        <v>2</v>
      </c>
      <c r="K81">
        <v>1</v>
      </c>
      <c r="L81">
        <v>1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1</v>
      </c>
      <c r="AA81">
        <v>3</v>
      </c>
      <c r="AB81">
        <v>0</v>
      </c>
      <c r="AC81">
        <v>2</v>
      </c>
      <c r="AD81">
        <v>5</v>
      </c>
      <c r="AE81">
        <v>2.5</v>
      </c>
      <c r="AF81">
        <v>0</v>
      </c>
      <c r="AG81">
        <v>2</v>
      </c>
      <c r="AH81">
        <v>1.5</v>
      </c>
      <c r="AI81" t="s">
        <v>86</v>
      </c>
      <c r="AJ81" s="9">
        <v>12</v>
      </c>
      <c r="AK81">
        <v>6415</v>
      </c>
      <c r="AL81" s="33" t="s">
        <v>271</v>
      </c>
      <c r="AM81" t="s">
        <v>281</v>
      </c>
      <c r="AN81" t="s">
        <v>273</v>
      </c>
      <c r="AO81" t="s">
        <v>282</v>
      </c>
      <c r="AP81" t="s">
        <v>109</v>
      </c>
      <c r="AQ81">
        <v>62260</v>
      </c>
      <c r="AR81">
        <v>2522</v>
      </c>
      <c r="AS81">
        <v>2203</v>
      </c>
      <c r="AT81">
        <v>319</v>
      </c>
      <c r="AU81">
        <v>411</v>
      </c>
      <c r="AV81">
        <v>191687</v>
      </c>
      <c r="AW81">
        <v>647</v>
      </c>
      <c r="AX81">
        <v>58842</v>
      </c>
      <c r="AY81">
        <v>31</v>
      </c>
      <c r="AZ81">
        <v>56445</v>
      </c>
      <c r="BA81">
        <v>0.53400000000000003</v>
      </c>
      <c r="BB81">
        <v>1.3</v>
      </c>
    </row>
    <row r="82" spans="1:54" x14ac:dyDescent="0.3">
      <c r="A82" t="s">
        <v>263</v>
      </c>
      <c r="B82" s="16">
        <v>14</v>
      </c>
      <c r="C82" s="7" t="str">
        <f t="shared" si="1"/>
        <v>NEU_14</v>
      </c>
      <c r="D82" s="8" t="s">
        <v>253</v>
      </c>
      <c r="E82" s="19">
        <v>0</v>
      </c>
      <c r="F82" s="19">
        <v>0</v>
      </c>
      <c r="G82" s="19">
        <v>2</v>
      </c>
      <c r="H82" t="s">
        <v>43</v>
      </c>
      <c r="I82" t="s">
        <v>264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1</v>
      </c>
      <c r="AD82">
        <v>1</v>
      </c>
      <c r="AE82">
        <v>0</v>
      </c>
      <c r="AF82">
        <v>0</v>
      </c>
      <c r="AG82">
        <v>1</v>
      </c>
      <c r="AH82">
        <v>0.33333333300000001</v>
      </c>
      <c r="AI82" t="s">
        <v>269</v>
      </c>
      <c r="AJ82" s="9">
        <v>13</v>
      </c>
      <c r="AK82">
        <v>10879</v>
      </c>
      <c r="AL82" s="33" t="s">
        <v>271</v>
      </c>
      <c r="AM82" t="s">
        <v>289</v>
      </c>
      <c r="AN82" t="s">
        <v>273</v>
      </c>
      <c r="AO82" t="s">
        <v>290</v>
      </c>
      <c r="AP82" t="s">
        <v>109</v>
      </c>
      <c r="AQ82">
        <v>60890</v>
      </c>
      <c r="AR82">
        <v>2158</v>
      </c>
      <c r="AS82">
        <v>1949</v>
      </c>
      <c r="AT82">
        <v>209</v>
      </c>
      <c r="AU82">
        <v>298</v>
      </c>
      <c r="AV82">
        <v>64878</v>
      </c>
      <c r="AW82">
        <v>1602</v>
      </c>
      <c r="AX82">
        <v>9057</v>
      </c>
      <c r="AY82">
        <v>14</v>
      </c>
      <c r="AZ82">
        <v>56445</v>
      </c>
      <c r="BA82">
        <v>0.53400000000000003</v>
      </c>
      <c r="BB82">
        <v>1.3</v>
      </c>
    </row>
    <row r="83" spans="1:54" x14ac:dyDescent="0.3">
      <c r="A83" t="s">
        <v>263</v>
      </c>
      <c r="B83" s="16">
        <v>15</v>
      </c>
      <c r="C83" s="7" t="str">
        <f t="shared" si="1"/>
        <v>NEU_15</v>
      </c>
      <c r="D83" s="8" t="s">
        <v>254</v>
      </c>
      <c r="E83" s="19">
        <v>1</v>
      </c>
      <c r="F83" s="19">
        <v>0</v>
      </c>
      <c r="G83" s="19">
        <v>2</v>
      </c>
      <c r="H83" t="s">
        <v>42</v>
      </c>
      <c r="I83" t="s">
        <v>194</v>
      </c>
      <c r="J83">
        <v>2</v>
      </c>
      <c r="K83">
        <v>1</v>
      </c>
      <c r="L83">
        <v>1</v>
      </c>
      <c r="M83">
        <v>1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5</v>
      </c>
      <c r="AB83">
        <v>0</v>
      </c>
      <c r="AC83">
        <v>1</v>
      </c>
      <c r="AD83">
        <v>6</v>
      </c>
      <c r="AE83">
        <v>4.1666666670000003</v>
      </c>
      <c r="AF83">
        <v>0</v>
      </c>
      <c r="AG83">
        <v>1</v>
      </c>
      <c r="AH83">
        <v>1.7222222220000001</v>
      </c>
      <c r="AI83" t="s">
        <v>86</v>
      </c>
      <c r="AJ83" s="9">
        <v>14</v>
      </c>
      <c r="AK83">
        <v>5555</v>
      </c>
      <c r="AL83" s="33" t="s">
        <v>271</v>
      </c>
      <c r="AM83" t="s">
        <v>291</v>
      </c>
      <c r="AN83" t="s">
        <v>273</v>
      </c>
      <c r="AO83" t="s">
        <v>292</v>
      </c>
      <c r="AP83" t="s">
        <v>109</v>
      </c>
      <c r="AQ83">
        <v>47920</v>
      </c>
      <c r="AR83">
        <v>2409</v>
      </c>
      <c r="AS83">
        <v>2197</v>
      </c>
      <c r="AT83">
        <v>212</v>
      </c>
      <c r="AU83">
        <v>388</v>
      </c>
      <c r="AV83">
        <v>213408</v>
      </c>
      <c r="AW83">
        <v>540</v>
      </c>
      <c r="AX83">
        <v>66696</v>
      </c>
      <c r="AY83">
        <v>31</v>
      </c>
      <c r="AZ83">
        <v>56445</v>
      </c>
      <c r="BA83">
        <v>0.53400000000000003</v>
      </c>
      <c r="BB83">
        <v>1.3</v>
      </c>
    </row>
    <row r="84" spans="1:54" x14ac:dyDescent="0.3">
      <c r="A84" t="s">
        <v>263</v>
      </c>
      <c r="B84" s="16">
        <v>16</v>
      </c>
      <c r="C84" s="7" t="str">
        <f t="shared" si="1"/>
        <v>NEU_16</v>
      </c>
      <c r="D84" s="8" t="s">
        <v>255</v>
      </c>
      <c r="E84" s="19">
        <v>1</v>
      </c>
      <c r="F84" s="19">
        <v>0</v>
      </c>
      <c r="G84" s="19">
        <v>2</v>
      </c>
      <c r="H84" t="s">
        <v>40</v>
      </c>
      <c r="I84" t="s">
        <v>266</v>
      </c>
      <c r="J84">
        <v>3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1</v>
      </c>
      <c r="AA84">
        <v>6</v>
      </c>
      <c r="AB84">
        <v>0</v>
      </c>
      <c r="AC84">
        <v>2</v>
      </c>
      <c r="AD84">
        <v>8</v>
      </c>
      <c r="AE84">
        <v>5</v>
      </c>
      <c r="AF84">
        <v>0</v>
      </c>
      <c r="AG84">
        <v>2</v>
      </c>
      <c r="AH84">
        <v>2.3333333330000001</v>
      </c>
      <c r="AI84" t="s">
        <v>86</v>
      </c>
      <c r="AJ84" s="9">
        <v>15</v>
      </c>
      <c r="AK84">
        <v>11579</v>
      </c>
      <c r="AL84" s="33" t="s">
        <v>271</v>
      </c>
      <c r="AM84" t="s">
        <v>293</v>
      </c>
      <c r="AN84" t="s">
        <v>273</v>
      </c>
      <c r="AO84" t="s">
        <v>294</v>
      </c>
      <c r="AP84" t="s">
        <v>109</v>
      </c>
      <c r="AQ84">
        <v>74740</v>
      </c>
      <c r="AR84">
        <v>1557</v>
      </c>
      <c r="AS84">
        <v>1379</v>
      </c>
      <c r="AT84">
        <v>178</v>
      </c>
      <c r="AU84">
        <v>268</v>
      </c>
      <c r="AV84">
        <v>179601</v>
      </c>
      <c r="AW84">
        <v>1734</v>
      </c>
      <c r="AX84">
        <v>97685</v>
      </c>
      <c r="AY84">
        <v>54</v>
      </c>
      <c r="AZ84">
        <v>56445</v>
      </c>
      <c r="BA84">
        <v>0.53400000000000003</v>
      </c>
      <c r="BB84">
        <v>1.3</v>
      </c>
    </row>
    <row r="85" spans="1:54" x14ac:dyDescent="0.3">
      <c r="A85" t="s">
        <v>263</v>
      </c>
      <c r="B85" s="16">
        <v>17</v>
      </c>
      <c r="C85" s="7" t="str">
        <f t="shared" si="1"/>
        <v>NEU_17</v>
      </c>
      <c r="D85" s="8" t="s">
        <v>256</v>
      </c>
      <c r="E85" s="19">
        <v>1</v>
      </c>
      <c r="F85" s="19">
        <v>0</v>
      </c>
      <c r="G85" s="19">
        <v>2</v>
      </c>
      <c r="H85" t="s">
        <v>44</v>
      </c>
      <c r="I85" t="s">
        <v>264</v>
      </c>
      <c r="J85">
        <v>3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1</v>
      </c>
      <c r="AA85">
        <v>6</v>
      </c>
      <c r="AB85">
        <v>0</v>
      </c>
      <c r="AC85">
        <v>2</v>
      </c>
      <c r="AD85">
        <v>8</v>
      </c>
      <c r="AE85">
        <v>5</v>
      </c>
      <c r="AF85">
        <v>0</v>
      </c>
      <c r="AG85">
        <v>2</v>
      </c>
      <c r="AH85">
        <v>2.3333333330000001</v>
      </c>
      <c r="AI85" t="s">
        <v>86</v>
      </c>
      <c r="AJ85" s="9">
        <v>16</v>
      </c>
      <c r="AK85">
        <v>11579</v>
      </c>
      <c r="AL85" s="33" t="s">
        <v>271</v>
      </c>
      <c r="AM85" t="s">
        <v>293</v>
      </c>
      <c r="AN85" t="s">
        <v>273</v>
      </c>
      <c r="AO85" t="s">
        <v>294</v>
      </c>
      <c r="AP85" t="s">
        <v>109</v>
      </c>
      <c r="AQ85">
        <v>74740</v>
      </c>
      <c r="AR85">
        <v>1557</v>
      </c>
      <c r="AS85">
        <v>1379</v>
      </c>
      <c r="AT85">
        <v>178</v>
      </c>
      <c r="AU85">
        <v>268</v>
      </c>
      <c r="AV85">
        <v>179601</v>
      </c>
      <c r="AW85">
        <v>1734</v>
      </c>
      <c r="AX85">
        <v>97685</v>
      </c>
      <c r="AY85">
        <v>54</v>
      </c>
      <c r="AZ85">
        <v>56445</v>
      </c>
      <c r="BA85">
        <v>0.53400000000000003</v>
      </c>
      <c r="BB85">
        <v>1.3</v>
      </c>
    </row>
    <row r="86" spans="1:54" x14ac:dyDescent="0.3">
      <c r="A86" t="s">
        <v>263</v>
      </c>
      <c r="B86" s="16">
        <v>18</v>
      </c>
      <c r="C86" s="7" t="str">
        <f t="shared" si="1"/>
        <v>NEU_18</v>
      </c>
      <c r="D86" s="8" t="s">
        <v>257</v>
      </c>
      <c r="E86" s="19">
        <v>0</v>
      </c>
      <c r="F86" s="19">
        <v>0</v>
      </c>
      <c r="G86" s="19">
        <v>2</v>
      </c>
      <c r="H86" t="s">
        <v>40</v>
      </c>
      <c r="I86" t="s">
        <v>41</v>
      </c>
      <c r="J86">
        <v>1</v>
      </c>
      <c r="K86">
        <v>0</v>
      </c>
      <c r="L86">
        <v>1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2</v>
      </c>
      <c r="AB86">
        <v>0</v>
      </c>
      <c r="AC86">
        <v>1</v>
      </c>
      <c r="AD86">
        <v>3</v>
      </c>
      <c r="AE86">
        <v>1.6666666670000001</v>
      </c>
      <c r="AF86">
        <v>0</v>
      </c>
      <c r="AG86">
        <v>1</v>
      </c>
      <c r="AH86">
        <v>0.88888888899999996</v>
      </c>
      <c r="AI86" t="s">
        <v>86</v>
      </c>
      <c r="AJ86" s="9">
        <v>17</v>
      </c>
      <c r="AK86">
        <v>11729</v>
      </c>
      <c r="AL86" s="33" t="s">
        <v>271</v>
      </c>
      <c r="AM86" t="s">
        <v>295</v>
      </c>
      <c r="AN86" t="s">
        <v>273</v>
      </c>
      <c r="AO86" t="s">
        <v>296</v>
      </c>
      <c r="AP86" t="s">
        <v>109</v>
      </c>
      <c r="AQ86">
        <v>61910</v>
      </c>
      <c r="AR86">
        <v>2679</v>
      </c>
      <c r="AS86">
        <v>2396</v>
      </c>
      <c r="AT86">
        <v>283</v>
      </c>
      <c r="AU86">
        <v>440</v>
      </c>
      <c r="AV86">
        <v>158683</v>
      </c>
      <c r="AW86">
        <v>1777</v>
      </c>
      <c r="AX86">
        <v>75493</v>
      </c>
      <c r="AY86">
        <v>48</v>
      </c>
      <c r="AZ86">
        <v>56445</v>
      </c>
      <c r="BA86">
        <v>0.53400000000000003</v>
      </c>
      <c r="BB86">
        <v>1.3</v>
      </c>
    </row>
    <row r="87" spans="1:54" x14ac:dyDescent="0.3">
      <c r="A87" t="s">
        <v>263</v>
      </c>
      <c r="B87" s="16">
        <v>19</v>
      </c>
      <c r="C87" s="7" t="str">
        <f t="shared" si="1"/>
        <v>NEU_19</v>
      </c>
      <c r="D87" s="8" t="s">
        <v>258</v>
      </c>
      <c r="E87" s="19">
        <v>0</v>
      </c>
      <c r="F87" s="19">
        <v>1</v>
      </c>
      <c r="G87" s="19">
        <v>1</v>
      </c>
      <c r="H87" t="s">
        <v>39</v>
      </c>
      <c r="I87" t="s">
        <v>270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1</v>
      </c>
      <c r="AB87">
        <v>1</v>
      </c>
      <c r="AC87">
        <v>2</v>
      </c>
      <c r="AD87">
        <v>4</v>
      </c>
      <c r="AE87">
        <v>0.83333333300000001</v>
      </c>
      <c r="AF87">
        <v>1</v>
      </c>
      <c r="AG87">
        <v>2</v>
      </c>
      <c r="AH87">
        <v>1.2777777779999999</v>
      </c>
      <c r="AI87" t="s">
        <v>86</v>
      </c>
      <c r="AJ87" s="9">
        <v>18</v>
      </c>
      <c r="AK87">
        <v>11692</v>
      </c>
      <c r="AL87" s="33" t="s">
        <v>271</v>
      </c>
      <c r="AM87" t="s">
        <v>283</v>
      </c>
      <c r="AN87" t="s">
        <v>273</v>
      </c>
      <c r="AO87" t="s">
        <v>284</v>
      </c>
      <c r="AP87" t="s">
        <v>109</v>
      </c>
      <c r="AQ87">
        <v>49180</v>
      </c>
      <c r="AR87">
        <v>3076</v>
      </c>
      <c r="AS87">
        <v>2783</v>
      </c>
      <c r="AT87">
        <v>293</v>
      </c>
      <c r="AU87">
        <v>490</v>
      </c>
      <c r="AV87">
        <v>219912</v>
      </c>
      <c r="AW87">
        <v>1764</v>
      </c>
      <c r="AX87">
        <v>104324</v>
      </c>
      <c r="AY87">
        <v>47</v>
      </c>
      <c r="AZ87">
        <v>56445</v>
      </c>
      <c r="BA87">
        <v>0.53400000000000003</v>
      </c>
      <c r="BB87">
        <v>1.3</v>
      </c>
    </row>
    <row r="88" spans="1:54" s="5" customFormat="1" x14ac:dyDescent="0.3">
      <c r="A88" s="5" t="s">
        <v>263</v>
      </c>
      <c r="B88" s="18">
        <v>20</v>
      </c>
      <c r="C88" s="15" t="str">
        <f t="shared" si="1"/>
        <v>NEU_20</v>
      </c>
      <c r="D88" s="12" t="s">
        <v>259</v>
      </c>
      <c r="E88" s="21">
        <v>0</v>
      </c>
      <c r="F88" s="21">
        <v>0</v>
      </c>
      <c r="G88" s="21">
        <v>0</v>
      </c>
      <c r="H88" s="5" t="s">
        <v>86</v>
      </c>
      <c r="I88" s="5" t="s">
        <v>86</v>
      </c>
      <c r="J88" s="5" t="s">
        <v>86</v>
      </c>
      <c r="K88" s="5" t="s">
        <v>86</v>
      </c>
      <c r="L88" s="5" t="s">
        <v>86</v>
      </c>
      <c r="M88" s="5" t="s">
        <v>86</v>
      </c>
      <c r="N88" s="5" t="s">
        <v>86</v>
      </c>
      <c r="O88" s="5" t="s">
        <v>86</v>
      </c>
      <c r="P88" s="5" t="s">
        <v>86</v>
      </c>
      <c r="Q88" s="5" t="s">
        <v>86</v>
      </c>
      <c r="R88" s="5" t="s">
        <v>86</v>
      </c>
      <c r="S88" s="5" t="s">
        <v>86</v>
      </c>
      <c r="T88" s="5" t="s">
        <v>86</v>
      </c>
      <c r="U88" s="5" t="s">
        <v>86</v>
      </c>
      <c r="V88" s="5" t="s">
        <v>86</v>
      </c>
      <c r="W88" s="5" t="s">
        <v>86</v>
      </c>
      <c r="X88" s="5" t="s">
        <v>86</v>
      </c>
      <c r="Y88" s="5" t="s">
        <v>86</v>
      </c>
      <c r="Z88" s="5" t="s">
        <v>86</v>
      </c>
      <c r="AA88" s="5" t="s">
        <v>86</v>
      </c>
      <c r="AB88" s="5" t="s">
        <v>86</v>
      </c>
      <c r="AC88" s="5" t="s">
        <v>86</v>
      </c>
      <c r="AD88" s="5" t="s">
        <v>86</v>
      </c>
      <c r="AE88" s="5" t="s">
        <v>86</v>
      </c>
      <c r="AF88" s="5" t="s">
        <v>86</v>
      </c>
      <c r="AG88" s="5" t="s">
        <v>86</v>
      </c>
      <c r="AH88" s="5" t="s">
        <v>86</v>
      </c>
      <c r="AI88" s="5" t="s">
        <v>86</v>
      </c>
      <c r="AJ88" s="23">
        <v>19</v>
      </c>
      <c r="AK88" s="5">
        <v>9292</v>
      </c>
      <c r="AL88" s="34" t="s">
        <v>271</v>
      </c>
      <c r="AM88" s="5" t="s">
        <v>297</v>
      </c>
      <c r="AN88" s="5" t="s">
        <v>273</v>
      </c>
      <c r="AO88" s="5" t="s">
        <v>298</v>
      </c>
      <c r="AP88" s="5" t="s">
        <v>109</v>
      </c>
      <c r="AQ88" s="5">
        <v>62220</v>
      </c>
      <c r="AR88" s="5">
        <v>1979</v>
      </c>
      <c r="AS88" s="5">
        <v>1699</v>
      </c>
      <c r="AT88" s="5">
        <v>281</v>
      </c>
      <c r="AU88" s="5">
        <v>353</v>
      </c>
      <c r="AV88" s="5">
        <v>113622</v>
      </c>
      <c r="AW88" s="5">
        <v>1336</v>
      </c>
      <c r="AX88" s="5">
        <v>31004</v>
      </c>
      <c r="AY88" s="5">
        <v>27</v>
      </c>
      <c r="AZ88" s="5">
        <v>56445</v>
      </c>
      <c r="BA88" s="5">
        <v>0.53400000000000003</v>
      </c>
      <c r="BB88" s="5">
        <v>1.3</v>
      </c>
    </row>
    <row r="89" spans="1:54" x14ac:dyDescent="0.3">
      <c r="A89" t="s">
        <v>263</v>
      </c>
      <c r="B89" s="16">
        <v>21</v>
      </c>
      <c r="C89" s="7" t="str">
        <f t="shared" si="1"/>
        <v>NEU_21</v>
      </c>
      <c r="D89" s="8" t="s">
        <v>260</v>
      </c>
      <c r="E89" s="19">
        <v>1</v>
      </c>
      <c r="F89" s="19">
        <v>0</v>
      </c>
      <c r="G89" s="19">
        <v>2</v>
      </c>
      <c r="H89" t="s">
        <v>42</v>
      </c>
      <c r="I89" t="s">
        <v>41</v>
      </c>
      <c r="J89">
        <v>2</v>
      </c>
      <c r="K89">
        <v>1</v>
      </c>
      <c r="L89">
        <v>1</v>
      </c>
      <c r="M89">
        <v>0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4</v>
      </c>
      <c r="AB89">
        <v>0</v>
      </c>
      <c r="AC89">
        <v>1</v>
      </c>
      <c r="AD89">
        <v>5</v>
      </c>
      <c r="AE89">
        <v>3.3333333330000001</v>
      </c>
      <c r="AF89">
        <v>0</v>
      </c>
      <c r="AG89">
        <v>1</v>
      </c>
      <c r="AH89">
        <v>1.4444444439999999</v>
      </c>
      <c r="AI89" t="s">
        <v>86</v>
      </c>
      <c r="AJ89" s="9">
        <v>20</v>
      </c>
      <c r="AK89">
        <v>11021</v>
      </c>
      <c r="AL89" s="33" t="s">
        <v>271</v>
      </c>
      <c r="AM89" t="s">
        <v>285</v>
      </c>
      <c r="AN89" t="s">
        <v>273</v>
      </c>
      <c r="AO89" t="s">
        <v>286</v>
      </c>
      <c r="AP89" t="s">
        <v>109</v>
      </c>
      <c r="AQ89">
        <v>58030</v>
      </c>
      <c r="AR89">
        <v>2598</v>
      </c>
      <c r="AS89">
        <v>2319</v>
      </c>
      <c r="AT89">
        <v>279</v>
      </c>
      <c r="AU89">
        <v>385</v>
      </c>
      <c r="AV89">
        <v>129656</v>
      </c>
      <c r="AW89">
        <v>1636</v>
      </c>
      <c r="AX89">
        <v>25692</v>
      </c>
      <c r="AY89">
        <v>20</v>
      </c>
      <c r="AZ89">
        <v>56445</v>
      </c>
      <c r="BA89">
        <v>0.53400000000000003</v>
      </c>
      <c r="BB89">
        <v>1.3</v>
      </c>
    </row>
    <row r="90" spans="1:54" x14ac:dyDescent="0.3">
      <c r="A90" t="s">
        <v>263</v>
      </c>
      <c r="B90" s="16">
        <v>22</v>
      </c>
      <c r="C90" s="7" t="str">
        <f t="shared" si="1"/>
        <v>NEU_22</v>
      </c>
      <c r="D90" s="8" t="s">
        <v>261</v>
      </c>
      <c r="E90" s="19">
        <v>1</v>
      </c>
      <c r="F90" s="19">
        <v>1</v>
      </c>
      <c r="G90" s="19">
        <v>2</v>
      </c>
      <c r="H90" t="s">
        <v>39</v>
      </c>
      <c r="I90" t="s">
        <v>41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5</v>
      </c>
      <c r="AB90">
        <v>0</v>
      </c>
      <c r="AC90">
        <v>1</v>
      </c>
      <c r="AD90">
        <v>6</v>
      </c>
      <c r="AE90">
        <v>4.1666666670000003</v>
      </c>
      <c r="AF90">
        <v>0</v>
      </c>
      <c r="AG90">
        <v>1</v>
      </c>
      <c r="AH90">
        <v>1.7222222220000001</v>
      </c>
      <c r="AI90" t="s">
        <v>86</v>
      </c>
      <c r="AJ90" s="9">
        <v>22</v>
      </c>
      <c r="AK90">
        <v>4235</v>
      </c>
      <c r="AL90" s="33" t="s">
        <v>271</v>
      </c>
      <c r="AM90" t="s">
        <v>272</v>
      </c>
      <c r="AN90" t="s">
        <v>273</v>
      </c>
      <c r="AO90" t="s">
        <v>274</v>
      </c>
      <c r="AP90" t="s">
        <v>109</v>
      </c>
      <c r="AQ90">
        <v>62880</v>
      </c>
      <c r="AR90">
        <v>2134</v>
      </c>
      <c r="AS90">
        <v>1925</v>
      </c>
      <c r="AT90">
        <v>209</v>
      </c>
      <c r="AU90">
        <v>297</v>
      </c>
      <c r="AV90">
        <v>118342</v>
      </c>
      <c r="AW90">
        <v>410</v>
      </c>
      <c r="AX90">
        <v>52740</v>
      </c>
      <c r="AY90">
        <v>45</v>
      </c>
      <c r="AZ90">
        <v>56445</v>
      </c>
      <c r="BA90">
        <v>0.53400000000000003</v>
      </c>
      <c r="BB90">
        <v>1.3</v>
      </c>
    </row>
    <row r="91" spans="1:54" x14ac:dyDescent="0.3">
      <c r="A91" t="s">
        <v>263</v>
      </c>
      <c r="B91" s="16">
        <v>23</v>
      </c>
      <c r="C91" s="7" t="str">
        <f t="shared" si="1"/>
        <v>NEU_23</v>
      </c>
      <c r="D91" s="8" t="s">
        <v>262</v>
      </c>
      <c r="E91" s="19">
        <v>1</v>
      </c>
      <c r="F91" s="19">
        <v>0</v>
      </c>
      <c r="G91" s="19">
        <v>2</v>
      </c>
      <c r="H91" t="s">
        <v>86</v>
      </c>
      <c r="I91" t="s">
        <v>41</v>
      </c>
      <c r="J91">
        <v>2</v>
      </c>
      <c r="K91">
        <v>1</v>
      </c>
      <c r="L91">
        <v>1</v>
      </c>
      <c r="M91">
        <v>1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5</v>
      </c>
      <c r="AB91">
        <v>0</v>
      </c>
      <c r="AC91">
        <v>1</v>
      </c>
      <c r="AD91">
        <v>6</v>
      </c>
      <c r="AE91">
        <v>4.1666666670000003</v>
      </c>
      <c r="AF91">
        <v>0</v>
      </c>
      <c r="AG91">
        <v>1</v>
      </c>
      <c r="AH91">
        <v>1.7222222220000001</v>
      </c>
      <c r="AI91" t="s">
        <v>86</v>
      </c>
      <c r="AJ91" s="9">
        <v>23</v>
      </c>
      <c r="AK91">
        <v>11247</v>
      </c>
      <c r="AL91" s="33" t="s">
        <v>271</v>
      </c>
      <c r="AM91" t="s">
        <v>279</v>
      </c>
      <c r="AN91" t="s">
        <v>273</v>
      </c>
      <c r="AO91" t="s">
        <v>280</v>
      </c>
      <c r="AP91" t="s">
        <v>109</v>
      </c>
      <c r="AQ91">
        <v>51700</v>
      </c>
      <c r="AR91">
        <v>2003</v>
      </c>
      <c r="AS91">
        <v>1806</v>
      </c>
      <c r="AT91">
        <v>197</v>
      </c>
      <c r="AU91">
        <v>288</v>
      </c>
      <c r="AV91">
        <v>109566</v>
      </c>
      <c r="AW91">
        <v>1680</v>
      </c>
      <c r="AX91">
        <v>49806</v>
      </c>
      <c r="AY91">
        <v>45</v>
      </c>
      <c r="AZ91">
        <v>56445</v>
      </c>
      <c r="BA91">
        <v>0.53400000000000003</v>
      </c>
      <c r="BB91">
        <v>1.3</v>
      </c>
    </row>
    <row r="92" spans="1:54" x14ac:dyDescent="0.3">
      <c r="A92" t="s">
        <v>299</v>
      </c>
      <c r="B92" s="16">
        <v>1</v>
      </c>
      <c r="C92" s="7" t="str">
        <f t="shared" si="1"/>
        <v>IVR_1</v>
      </c>
      <c r="D92" s="19" t="s">
        <v>300</v>
      </c>
      <c r="E92" s="19">
        <v>1</v>
      </c>
      <c r="F92" s="19">
        <v>0</v>
      </c>
      <c r="G92" s="19">
        <v>2</v>
      </c>
      <c r="H92" t="s">
        <v>42</v>
      </c>
      <c r="I92" t="s">
        <v>321</v>
      </c>
      <c r="J92">
        <v>3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1</v>
      </c>
      <c r="W92">
        <v>1</v>
      </c>
      <c r="X92">
        <v>0</v>
      </c>
      <c r="Y92">
        <v>0</v>
      </c>
      <c r="Z92">
        <v>1</v>
      </c>
      <c r="AA92">
        <v>6</v>
      </c>
      <c r="AB92">
        <v>1</v>
      </c>
      <c r="AC92">
        <v>3</v>
      </c>
      <c r="AD92">
        <v>10</v>
      </c>
      <c r="AE92">
        <v>5</v>
      </c>
      <c r="AF92">
        <v>1</v>
      </c>
      <c r="AG92">
        <v>3</v>
      </c>
      <c r="AH92">
        <v>3</v>
      </c>
      <c r="AI92" t="s">
        <v>86</v>
      </c>
      <c r="AJ92" s="9">
        <v>0</v>
      </c>
      <c r="AK92">
        <v>7402</v>
      </c>
      <c r="AL92" s="33" t="s">
        <v>330</v>
      </c>
      <c r="AM92" t="s">
        <v>331</v>
      </c>
      <c r="AN92" t="s">
        <v>332</v>
      </c>
      <c r="AO92" t="s">
        <v>333</v>
      </c>
      <c r="AP92" t="s">
        <v>109</v>
      </c>
      <c r="AQ92">
        <v>19260</v>
      </c>
      <c r="AR92">
        <v>3442</v>
      </c>
      <c r="AS92">
        <v>2862</v>
      </c>
      <c r="AT92">
        <v>580</v>
      </c>
      <c r="AU92">
        <v>731</v>
      </c>
      <c r="AV92">
        <v>197139</v>
      </c>
      <c r="AW92">
        <v>826</v>
      </c>
      <c r="AX92">
        <v>53382</v>
      </c>
      <c r="AY92">
        <v>27</v>
      </c>
      <c r="AZ92">
        <v>18758</v>
      </c>
      <c r="BA92">
        <v>0.38600000000000001</v>
      </c>
      <c r="BB92">
        <v>4.7</v>
      </c>
    </row>
    <row r="93" spans="1:54" x14ac:dyDescent="0.3">
      <c r="A93" t="s">
        <v>299</v>
      </c>
      <c r="B93" s="16">
        <v>2</v>
      </c>
      <c r="C93" s="7" t="str">
        <f t="shared" si="1"/>
        <v>IVR_2</v>
      </c>
      <c r="D93" s="19" t="s">
        <v>301</v>
      </c>
      <c r="E93" s="19">
        <v>1</v>
      </c>
      <c r="F93" s="19">
        <v>0</v>
      </c>
      <c r="G93" s="19">
        <v>2</v>
      </c>
      <c r="H93" t="s">
        <v>42</v>
      </c>
      <c r="I93" t="s">
        <v>41</v>
      </c>
      <c r="J93">
        <v>2</v>
      </c>
      <c r="K93">
        <v>1</v>
      </c>
      <c r="L93">
        <v>1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4</v>
      </c>
      <c r="AB93">
        <v>0</v>
      </c>
      <c r="AC93">
        <v>1</v>
      </c>
      <c r="AD93">
        <v>5</v>
      </c>
      <c r="AE93">
        <v>3.3333333330000001</v>
      </c>
      <c r="AF93">
        <v>0</v>
      </c>
      <c r="AG93">
        <v>1</v>
      </c>
      <c r="AH93">
        <v>1.4444444439999999</v>
      </c>
      <c r="AI93" t="s">
        <v>86</v>
      </c>
      <c r="AJ93" s="9">
        <v>1</v>
      </c>
      <c r="AK93">
        <v>9982</v>
      </c>
      <c r="AL93" s="33" t="s">
        <v>330</v>
      </c>
      <c r="AM93" t="s">
        <v>334</v>
      </c>
      <c r="AN93" t="s">
        <v>332</v>
      </c>
      <c r="AO93" t="s">
        <v>335</v>
      </c>
      <c r="AP93" t="s">
        <v>109</v>
      </c>
      <c r="AQ93">
        <v>21730</v>
      </c>
      <c r="AR93">
        <v>4314</v>
      </c>
      <c r="AS93">
        <v>3437</v>
      </c>
      <c r="AT93">
        <v>878</v>
      </c>
      <c r="AU93">
        <v>1261</v>
      </c>
      <c r="AV93">
        <v>359406</v>
      </c>
      <c r="AW93">
        <v>1428</v>
      </c>
      <c r="AX93">
        <v>105531</v>
      </c>
      <c r="AY93">
        <v>29</v>
      </c>
      <c r="AZ93">
        <v>18758</v>
      </c>
      <c r="BA93">
        <v>0.38600000000000001</v>
      </c>
      <c r="BB93">
        <v>4.7</v>
      </c>
    </row>
    <row r="94" spans="1:54" x14ac:dyDescent="0.3">
      <c r="A94" t="s">
        <v>299</v>
      </c>
      <c r="B94" s="16">
        <v>3</v>
      </c>
      <c r="C94" s="7" t="str">
        <f t="shared" si="1"/>
        <v>IVR_3</v>
      </c>
      <c r="D94" s="19" t="s">
        <v>302</v>
      </c>
      <c r="E94" s="19">
        <v>1</v>
      </c>
      <c r="F94" s="19">
        <v>0</v>
      </c>
      <c r="G94" s="19">
        <v>2</v>
      </c>
      <c r="H94" t="s">
        <v>43</v>
      </c>
      <c r="I94" t="s">
        <v>41</v>
      </c>
      <c r="J94">
        <v>1</v>
      </c>
      <c r="K94">
        <v>1</v>
      </c>
      <c r="L94">
        <v>0</v>
      </c>
      <c r="M94">
        <v>1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4</v>
      </c>
      <c r="AB94">
        <v>0</v>
      </c>
      <c r="AC94">
        <v>1</v>
      </c>
      <c r="AD94">
        <v>5</v>
      </c>
      <c r="AE94">
        <v>3.3333333330000001</v>
      </c>
      <c r="AF94">
        <v>0</v>
      </c>
      <c r="AG94">
        <v>1</v>
      </c>
      <c r="AH94">
        <v>1.4444444439999999</v>
      </c>
      <c r="AI94" t="s">
        <v>86</v>
      </c>
      <c r="AJ94" s="9">
        <v>2</v>
      </c>
      <c r="AK94">
        <v>9775</v>
      </c>
      <c r="AL94" s="33" t="s">
        <v>330</v>
      </c>
      <c r="AM94" t="s">
        <v>336</v>
      </c>
      <c r="AN94" t="s">
        <v>332</v>
      </c>
      <c r="AO94" t="s">
        <v>337</v>
      </c>
      <c r="AP94" t="s">
        <v>109</v>
      </c>
      <c r="AQ94">
        <v>18940</v>
      </c>
      <c r="AR94">
        <v>2500</v>
      </c>
      <c r="AS94">
        <v>1833</v>
      </c>
      <c r="AT94">
        <v>667</v>
      </c>
      <c r="AU94">
        <v>882</v>
      </c>
      <c r="AV94">
        <v>124545</v>
      </c>
      <c r="AW94">
        <v>1397</v>
      </c>
      <c r="AX94">
        <v>33407</v>
      </c>
      <c r="AY94">
        <v>27</v>
      </c>
      <c r="AZ94">
        <v>18758</v>
      </c>
      <c r="BA94">
        <v>0.38600000000000001</v>
      </c>
      <c r="BB94">
        <v>4.7</v>
      </c>
    </row>
    <row r="95" spans="1:54" x14ac:dyDescent="0.3">
      <c r="A95" t="s">
        <v>299</v>
      </c>
      <c r="B95" s="16">
        <v>4</v>
      </c>
      <c r="C95" s="7" t="str">
        <f t="shared" si="1"/>
        <v>IVR_4</v>
      </c>
      <c r="D95" s="19" t="s">
        <v>303</v>
      </c>
      <c r="E95" s="19">
        <v>1</v>
      </c>
      <c r="F95" s="19">
        <v>0</v>
      </c>
      <c r="G95" s="19">
        <v>1</v>
      </c>
      <c r="H95" t="s">
        <v>44</v>
      </c>
      <c r="I95" t="s">
        <v>41</v>
      </c>
      <c r="J95">
        <v>5</v>
      </c>
      <c r="K95">
        <v>1</v>
      </c>
      <c r="L95">
        <v>1</v>
      </c>
      <c r="M95">
        <v>1</v>
      </c>
      <c r="N95">
        <v>1</v>
      </c>
      <c r="O95">
        <v>1</v>
      </c>
      <c r="P95">
        <v>0</v>
      </c>
      <c r="Q95">
        <v>1</v>
      </c>
      <c r="R95">
        <v>1</v>
      </c>
      <c r="S95">
        <v>1</v>
      </c>
      <c r="T95">
        <v>1</v>
      </c>
      <c r="U95">
        <v>0</v>
      </c>
      <c r="V95">
        <v>1</v>
      </c>
      <c r="W95">
        <v>1</v>
      </c>
      <c r="X95">
        <v>1</v>
      </c>
      <c r="Y95">
        <v>1</v>
      </c>
      <c r="Z95">
        <v>0</v>
      </c>
      <c r="AA95">
        <v>5</v>
      </c>
      <c r="AB95">
        <v>4</v>
      </c>
      <c r="AC95">
        <v>4</v>
      </c>
      <c r="AD95">
        <v>13</v>
      </c>
      <c r="AE95">
        <v>4.1666666670000003</v>
      </c>
      <c r="AF95">
        <v>4</v>
      </c>
      <c r="AG95">
        <v>4</v>
      </c>
      <c r="AH95">
        <v>4.0555555559999998</v>
      </c>
      <c r="AI95" t="s">
        <v>322</v>
      </c>
      <c r="AJ95" s="9">
        <v>3</v>
      </c>
      <c r="AK95">
        <v>10951</v>
      </c>
      <c r="AL95" s="33" t="s">
        <v>330</v>
      </c>
      <c r="AM95" t="s">
        <v>338</v>
      </c>
      <c r="AN95" t="s">
        <v>332</v>
      </c>
      <c r="AO95" t="s">
        <v>339</v>
      </c>
      <c r="AP95" t="s">
        <v>109</v>
      </c>
      <c r="AQ95">
        <v>19210</v>
      </c>
      <c r="AR95">
        <v>4801</v>
      </c>
      <c r="AS95">
        <v>2805</v>
      </c>
      <c r="AT95">
        <v>1997</v>
      </c>
      <c r="AU95">
        <v>2001</v>
      </c>
      <c r="AV95">
        <v>928074</v>
      </c>
      <c r="AW95">
        <v>1616</v>
      </c>
      <c r="AX95">
        <v>203727</v>
      </c>
      <c r="AY95">
        <v>22</v>
      </c>
      <c r="AZ95">
        <v>18758</v>
      </c>
      <c r="BA95">
        <v>0.38600000000000001</v>
      </c>
      <c r="BB95">
        <v>4.7</v>
      </c>
    </row>
    <row r="96" spans="1:54" x14ac:dyDescent="0.3">
      <c r="A96" t="s">
        <v>299</v>
      </c>
      <c r="B96" s="16">
        <v>5</v>
      </c>
      <c r="C96" s="7" t="str">
        <f t="shared" si="1"/>
        <v>IVR_5</v>
      </c>
      <c r="D96" s="19" t="s">
        <v>304</v>
      </c>
      <c r="E96" s="19">
        <v>1</v>
      </c>
      <c r="F96" s="19">
        <v>0</v>
      </c>
      <c r="G96" s="19">
        <v>1</v>
      </c>
      <c r="H96" t="s">
        <v>43</v>
      </c>
      <c r="I96" t="s">
        <v>323</v>
      </c>
      <c r="J96">
        <v>2</v>
      </c>
      <c r="K96">
        <v>1</v>
      </c>
      <c r="L96">
        <v>1</v>
      </c>
      <c r="M96">
        <v>1</v>
      </c>
      <c r="N96">
        <v>1</v>
      </c>
      <c r="O96">
        <v>0</v>
      </c>
      <c r="P96">
        <v>1</v>
      </c>
      <c r="Q96">
        <v>0</v>
      </c>
      <c r="R96">
        <v>1</v>
      </c>
      <c r="S96">
        <v>1</v>
      </c>
      <c r="T96">
        <v>0</v>
      </c>
      <c r="U96">
        <v>0</v>
      </c>
      <c r="V96">
        <v>1</v>
      </c>
      <c r="W96">
        <v>1</v>
      </c>
      <c r="X96">
        <v>0</v>
      </c>
      <c r="Y96">
        <v>1</v>
      </c>
      <c r="Z96">
        <v>1</v>
      </c>
      <c r="AA96">
        <v>5</v>
      </c>
      <c r="AB96">
        <v>2</v>
      </c>
      <c r="AC96">
        <v>4</v>
      </c>
      <c r="AD96">
        <v>11</v>
      </c>
      <c r="AE96">
        <v>4.1666666670000003</v>
      </c>
      <c r="AF96">
        <v>2</v>
      </c>
      <c r="AG96">
        <v>4</v>
      </c>
      <c r="AH96">
        <v>3.388888889</v>
      </c>
      <c r="AI96" t="s">
        <v>86</v>
      </c>
      <c r="AJ96" s="9">
        <v>4</v>
      </c>
      <c r="AK96">
        <v>9552</v>
      </c>
      <c r="AL96" s="33" t="s">
        <v>330</v>
      </c>
      <c r="AM96" t="s">
        <v>340</v>
      </c>
      <c r="AN96" t="s">
        <v>332</v>
      </c>
      <c r="AO96" t="s">
        <v>341</v>
      </c>
      <c r="AP96" t="s">
        <v>109</v>
      </c>
      <c r="AQ96">
        <v>18800</v>
      </c>
      <c r="AR96">
        <v>4180</v>
      </c>
      <c r="AS96">
        <v>3236</v>
      </c>
      <c r="AT96">
        <v>944</v>
      </c>
      <c r="AU96">
        <v>1248</v>
      </c>
      <c r="AV96">
        <v>406057</v>
      </c>
      <c r="AW96">
        <v>1365</v>
      </c>
      <c r="AX96">
        <v>174286</v>
      </c>
      <c r="AY96">
        <v>43</v>
      </c>
      <c r="AZ96">
        <v>18758</v>
      </c>
      <c r="BA96">
        <v>0.38600000000000001</v>
      </c>
      <c r="BB96">
        <v>4.7</v>
      </c>
    </row>
    <row r="97" spans="1:54" x14ac:dyDescent="0.3">
      <c r="A97" t="s">
        <v>299</v>
      </c>
      <c r="B97" s="16">
        <v>6</v>
      </c>
      <c r="C97" s="7" t="str">
        <f t="shared" si="1"/>
        <v>IVR_6</v>
      </c>
      <c r="D97" s="19" t="s">
        <v>305</v>
      </c>
      <c r="E97" s="19">
        <v>0</v>
      </c>
      <c r="F97" s="19">
        <v>0</v>
      </c>
      <c r="G97" s="19">
        <v>1</v>
      </c>
      <c r="H97" t="s">
        <v>43</v>
      </c>
      <c r="I97" t="s">
        <v>50</v>
      </c>
      <c r="J97">
        <v>1</v>
      </c>
      <c r="K97">
        <v>1</v>
      </c>
      <c r="L97">
        <v>0</v>
      </c>
      <c r="M97">
        <v>0</v>
      </c>
      <c r="N97">
        <v>1</v>
      </c>
      <c r="O97">
        <v>1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1</v>
      </c>
      <c r="Z97">
        <v>0</v>
      </c>
      <c r="AA97">
        <v>3</v>
      </c>
      <c r="AB97">
        <v>1</v>
      </c>
      <c r="AC97">
        <v>3</v>
      </c>
      <c r="AD97">
        <v>7</v>
      </c>
      <c r="AE97">
        <v>2.5</v>
      </c>
      <c r="AF97">
        <v>1</v>
      </c>
      <c r="AG97">
        <v>3</v>
      </c>
      <c r="AH97">
        <v>2.1666666669999999</v>
      </c>
      <c r="AI97" t="s">
        <v>86</v>
      </c>
      <c r="AJ97" s="9">
        <v>5</v>
      </c>
      <c r="AK97">
        <v>10404</v>
      </c>
      <c r="AL97" s="33" t="s">
        <v>330</v>
      </c>
      <c r="AM97" t="s">
        <v>342</v>
      </c>
      <c r="AN97" t="s">
        <v>332</v>
      </c>
      <c r="AO97" t="s">
        <v>343</v>
      </c>
      <c r="AP97" t="s">
        <v>109</v>
      </c>
      <c r="AQ97">
        <v>13390</v>
      </c>
      <c r="AR97">
        <v>5074</v>
      </c>
      <c r="AS97">
        <v>3686</v>
      </c>
      <c r="AT97">
        <v>1388</v>
      </c>
      <c r="AU97">
        <v>1932</v>
      </c>
      <c r="AV97">
        <v>777228</v>
      </c>
      <c r="AW97">
        <v>1530</v>
      </c>
      <c r="AX97">
        <v>80279</v>
      </c>
      <c r="AY97">
        <v>10</v>
      </c>
      <c r="AZ97">
        <v>18758</v>
      </c>
      <c r="BA97">
        <v>0.38600000000000001</v>
      </c>
      <c r="BB97">
        <v>4.7</v>
      </c>
    </row>
    <row r="98" spans="1:54" x14ac:dyDescent="0.3">
      <c r="A98" t="s">
        <v>299</v>
      </c>
      <c r="B98" s="16">
        <v>7</v>
      </c>
      <c r="C98" s="7" t="str">
        <f t="shared" si="1"/>
        <v>IVR_7</v>
      </c>
      <c r="D98" s="19" t="s">
        <v>306</v>
      </c>
      <c r="E98" s="19">
        <v>1</v>
      </c>
      <c r="F98" s="19">
        <v>0</v>
      </c>
      <c r="G98" s="19">
        <v>2</v>
      </c>
      <c r="H98" t="s">
        <v>43</v>
      </c>
      <c r="I98" t="s">
        <v>41</v>
      </c>
      <c r="J98">
        <v>2</v>
      </c>
      <c r="K98">
        <v>1</v>
      </c>
      <c r="L98">
        <v>0</v>
      </c>
      <c r="M98">
        <v>1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1</v>
      </c>
      <c r="Y98">
        <v>1</v>
      </c>
      <c r="Z98">
        <v>1</v>
      </c>
      <c r="AA98">
        <v>3</v>
      </c>
      <c r="AB98">
        <v>0</v>
      </c>
      <c r="AC98">
        <v>5</v>
      </c>
      <c r="AD98">
        <v>8</v>
      </c>
      <c r="AE98">
        <v>2.5</v>
      </c>
      <c r="AF98">
        <v>0</v>
      </c>
      <c r="AG98">
        <v>5</v>
      </c>
      <c r="AH98">
        <v>2.5</v>
      </c>
      <c r="AI98" t="s">
        <v>86</v>
      </c>
      <c r="AJ98" s="9">
        <v>6</v>
      </c>
      <c r="AK98">
        <v>10404</v>
      </c>
      <c r="AL98" s="33" t="s">
        <v>330</v>
      </c>
      <c r="AM98" t="s">
        <v>342</v>
      </c>
      <c r="AN98" t="s">
        <v>332</v>
      </c>
      <c r="AO98" t="s">
        <v>343</v>
      </c>
      <c r="AP98" t="s">
        <v>109</v>
      </c>
      <c r="AQ98">
        <v>13390</v>
      </c>
      <c r="AR98">
        <v>5074</v>
      </c>
      <c r="AS98">
        <v>3686</v>
      </c>
      <c r="AT98">
        <v>1388</v>
      </c>
      <c r="AU98">
        <v>1932</v>
      </c>
      <c r="AV98">
        <v>777228</v>
      </c>
      <c r="AW98">
        <v>1530</v>
      </c>
      <c r="AX98">
        <v>80279</v>
      </c>
      <c r="AY98">
        <v>10</v>
      </c>
      <c r="AZ98">
        <v>18758</v>
      </c>
      <c r="BA98">
        <v>0.38600000000000001</v>
      </c>
      <c r="BB98">
        <v>4.7</v>
      </c>
    </row>
    <row r="99" spans="1:54" s="5" customFormat="1" x14ac:dyDescent="0.3">
      <c r="A99" s="5" t="s">
        <v>299</v>
      </c>
      <c r="B99" s="18">
        <v>8</v>
      </c>
      <c r="C99" s="15" t="str">
        <f t="shared" si="1"/>
        <v>IVR_8</v>
      </c>
      <c r="D99" s="21" t="s">
        <v>307</v>
      </c>
      <c r="E99" s="21">
        <v>0</v>
      </c>
      <c r="F99" s="21">
        <v>1</v>
      </c>
      <c r="G99" s="21">
        <v>0</v>
      </c>
      <c r="H99" s="5" t="s">
        <v>86</v>
      </c>
      <c r="I99" s="5" t="s">
        <v>86</v>
      </c>
      <c r="J99" s="5" t="s">
        <v>86</v>
      </c>
      <c r="K99" s="5" t="s">
        <v>86</v>
      </c>
      <c r="L99" s="5" t="s">
        <v>86</v>
      </c>
      <c r="M99" s="5" t="s">
        <v>86</v>
      </c>
      <c r="N99" s="5" t="s">
        <v>86</v>
      </c>
      <c r="O99" s="5" t="s">
        <v>86</v>
      </c>
      <c r="P99" s="5" t="s">
        <v>86</v>
      </c>
      <c r="Q99" s="5" t="s">
        <v>86</v>
      </c>
      <c r="R99" s="5" t="s">
        <v>86</v>
      </c>
      <c r="S99" s="5" t="s">
        <v>86</v>
      </c>
      <c r="T99" s="5" t="s">
        <v>86</v>
      </c>
      <c r="U99" s="5" t="s">
        <v>86</v>
      </c>
      <c r="V99" s="5" t="s">
        <v>86</v>
      </c>
      <c r="W99" s="5" t="s">
        <v>86</v>
      </c>
      <c r="X99" s="5" t="s">
        <v>86</v>
      </c>
      <c r="Y99" s="5" t="s">
        <v>86</v>
      </c>
      <c r="Z99" s="5" t="s">
        <v>86</v>
      </c>
      <c r="AA99" s="5" t="s">
        <v>86</v>
      </c>
      <c r="AB99" s="5" t="s">
        <v>86</v>
      </c>
      <c r="AC99" s="5" t="s">
        <v>86</v>
      </c>
      <c r="AD99" s="5" t="s">
        <v>86</v>
      </c>
      <c r="AE99" s="5" t="s">
        <v>86</v>
      </c>
      <c r="AF99" s="5" t="s">
        <v>86</v>
      </c>
      <c r="AG99" s="5" t="s">
        <v>86</v>
      </c>
      <c r="AH99" s="5" t="s">
        <v>86</v>
      </c>
      <c r="AI99" s="5" t="s">
        <v>86</v>
      </c>
      <c r="AJ99" s="22">
        <v>7</v>
      </c>
      <c r="AK99" s="5">
        <v>5994</v>
      </c>
      <c r="AL99" s="34" t="s">
        <v>330</v>
      </c>
      <c r="AM99" s="5" t="s">
        <v>344</v>
      </c>
      <c r="AN99" s="5" t="s">
        <v>332</v>
      </c>
      <c r="AO99" s="5" t="s">
        <v>345</v>
      </c>
      <c r="AP99" s="5" t="s">
        <v>109</v>
      </c>
      <c r="AQ99" s="5">
        <v>18460</v>
      </c>
      <c r="AR99" s="5">
        <v>2106</v>
      </c>
      <c r="AS99" s="5">
        <v>1669</v>
      </c>
      <c r="AT99" s="5">
        <v>437</v>
      </c>
      <c r="AU99" s="5">
        <v>527</v>
      </c>
      <c r="AV99" s="5">
        <v>401764</v>
      </c>
      <c r="AW99" s="5">
        <v>588</v>
      </c>
      <c r="AX99" s="5">
        <v>244545</v>
      </c>
      <c r="AY99" s="5">
        <v>61</v>
      </c>
      <c r="AZ99" s="5">
        <v>18758</v>
      </c>
      <c r="BA99" s="5">
        <v>0.38600000000000001</v>
      </c>
      <c r="BB99" s="5">
        <v>4.7</v>
      </c>
    </row>
    <row r="100" spans="1:54" x14ac:dyDescent="0.3">
      <c r="A100" t="s">
        <v>299</v>
      </c>
      <c r="B100" s="16">
        <v>9</v>
      </c>
      <c r="C100" s="7" t="str">
        <f t="shared" si="1"/>
        <v>IVR_9</v>
      </c>
      <c r="D100" s="19" t="s">
        <v>308</v>
      </c>
      <c r="E100" s="19">
        <v>1</v>
      </c>
      <c r="F100" s="19">
        <v>0</v>
      </c>
      <c r="G100" s="19">
        <v>1</v>
      </c>
      <c r="H100" t="s">
        <v>44</v>
      </c>
      <c r="I100" t="s">
        <v>323</v>
      </c>
      <c r="J100">
        <v>5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1</v>
      </c>
      <c r="Z100">
        <v>1</v>
      </c>
      <c r="AA100">
        <v>6</v>
      </c>
      <c r="AB100">
        <v>3</v>
      </c>
      <c r="AC100">
        <v>3</v>
      </c>
      <c r="AD100">
        <v>12</v>
      </c>
      <c r="AE100">
        <v>5</v>
      </c>
      <c r="AF100">
        <v>3</v>
      </c>
      <c r="AG100">
        <v>3</v>
      </c>
      <c r="AH100">
        <v>3.6666666669999999</v>
      </c>
      <c r="AI100" t="s">
        <v>86</v>
      </c>
      <c r="AJ100" s="9">
        <v>8</v>
      </c>
      <c r="AK100">
        <v>5994</v>
      </c>
      <c r="AL100" s="33" t="s">
        <v>330</v>
      </c>
      <c r="AM100" t="s">
        <v>344</v>
      </c>
      <c r="AN100" t="s">
        <v>332</v>
      </c>
      <c r="AO100" t="s">
        <v>345</v>
      </c>
      <c r="AP100" t="s">
        <v>109</v>
      </c>
      <c r="AQ100">
        <v>18460</v>
      </c>
      <c r="AR100">
        <v>2106</v>
      </c>
      <c r="AS100">
        <v>1669</v>
      </c>
      <c r="AT100">
        <v>437</v>
      </c>
      <c r="AU100">
        <v>527</v>
      </c>
      <c r="AV100">
        <v>401764</v>
      </c>
      <c r="AW100">
        <v>588</v>
      </c>
      <c r="AX100">
        <v>244545</v>
      </c>
      <c r="AY100">
        <v>61</v>
      </c>
      <c r="AZ100">
        <v>18758</v>
      </c>
      <c r="BA100">
        <v>0.38600000000000001</v>
      </c>
      <c r="BB100">
        <v>4.7</v>
      </c>
    </row>
    <row r="101" spans="1:54" x14ac:dyDescent="0.3">
      <c r="A101" t="s">
        <v>299</v>
      </c>
      <c r="B101" s="16">
        <v>10</v>
      </c>
      <c r="C101" s="7" t="str">
        <f t="shared" si="1"/>
        <v>IVR_10</v>
      </c>
      <c r="D101" s="19" t="s">
        <v>309</v>
      </c>
      <c r="E101" s="19">
        <v>0</v>
      </c>
      <c r="F101" s="19">
        <v>0</v>
      </c>
      <c r="G101" s="19">
        <v>2</v>
      </c>
      <c r="H101" t="s">
        <v>43</v>
      </c>
      <c r="I101" t="s">
        <v>323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5</v>
      </c>
      <c r="AB101">
        <v>0</v>
      </c>
      <c r="AC101">
        <v>2</v>
      </c>
      <c r="AD101">
        <v>7</v>
      </c>
      <c r="AE101">
        <v>4.1666666670000003</v>
      </c>
      <c r="AF101">
        <v>0</v>
      </c>
      <c r="AG101">
        <v>2</v>
      </c>
      <c r="AH101">
        <v>2.0555555559999998</v>
      </c>
      <c r="AI101" t="s">
        <v>86</v>
      </c>
      <c r="AJ101" s="9">
        <v>9</v>
      </c>
      <c r="AK101">
        <v>10210</v>
      </c>
      <c r="AL101" s="33" t="s">
        <v>330</v>
      </c>
      <c r="AM101" t="s">
        <v>346</v>
      </c>
      <c r="AN101" t="s">
        <v>332</v>
      </c>
      <c r="AO101" t="s">
        <v>347</v>
      </c>
      <c r="AP101" t="s">
        <v>109</v>
      </c>
      <c r="AQ101">
        <v>18260</v>
      </c>
      <c r="AR101">
        <v>2960</v>
      </c>
      <c r="AS101">
        <v>2122</v>
      </c>
      <c r="AT101">
        <v>839</v>
      </c>
      <c r="AU101">
        <v>1092</v>
      </c>
      <c r="AV101">
        <v>177845</v>
      </c>
      <c r="AW101">
        <v>1480</v>
      </c>
      <c r="AX101">
        <v>47685</v>
      </c>
      <c r="AY101">
        <v>27</v>
      </c>
      <c r="AZ101">
        <v>18758</v>
      </c>
      <c r="BA101">
        <v>0.38600000000000001</v>
      </c>
      <c r="BB101">
        <v>4.7</v>
      </c>
    </row>
    <row r="102" spans="1:54" x14ac:dyDescent="0.3">
      <c r="A102" t="s">
        <v>299</v>
      </c>
      <c r="B102" s="16">
        <v>11</v>
      </c>
      <c r="C102" s="7" t="str">
        <f t="shared" si="1"/>
        <v>IVR_11</v>
      </c>
      <c r="D102" s="19" t="s">
        <v>310</v>
      </c>
      <c r="E102" s="19">
        <v>0</v>
      </c>
      <c r="F102" s="19">
        <v>0</v>
      </c>
      <c r="G102" s="19">
        <v>1</v>
      </c>
      <c r="H102" t="s">
        <v>43</v>
      </c>
      <c r="I102" t="s">
        <v>321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1</v>
      </c>
      <c r="AA102">
        <v>1</v>
      </c>
      <c r="AB102">
        <v>1</v>
      </c>
      <c r="AC102">
        <v>3</v>
      </c>
      <c r="AD102">
        <v>5</v>
      </c>
      <c r="AE102">
        <v>0.83333333300000001</v>
      </c>
      <c r="AF102">
        <v>1</v>
      </c>
      <c r="AG102">
        <v>3</v>
      </c>
      <c r="AH102">
        <v>1.611111111</v>
      </c>
      <c r="AI102" t="s">
        <v>86</v>
      </c>
      <c r="AJ102" s="9">
        <v>10</v>
      </c>
      <c r="AK102">
        <v>10242</v>
      </c>
      <c r="AL102" s="33" t="s">
        <v>330</v>
      </c>
      <c r="AM102" t="s">
        <v>348</v>
      </c>
      <c r="AN102" t="s">
        <v>332</v>
      </c>
      <c r="AO102" t="s">
        <v>349</v>
      </c>
      <c r="AP102" t="s">
        <v>109</v>
      </c>
      <c r="AQ102">
        <v>19580</v>
      </c>
      <c r="AR102">
        <v>2070</v>
      </c>
      <c r="AS102">
        <v>1661</v>
      </c>
      <c r="AT102">
        <v>408</v>
      </c>
      <c r="AU102">
        <v>571</v>
      </c>
      <c r="AV102">
        <v>122769</v>
      </c>
      <c r="AW102">
        <v>1495</v>
      </c>
      <c r="AX102">
        <v>45575</v>
      </c>
      <c r="AY102">
        <v>37</v>
      </c>
      <c r="AZ102">
        <v>18758</v>
      </c>
      <c r="BA102">
        <v>0.38600000000000001</v>
      </c>
      <c r="BB102">
        <v>4.7</v>
      </c>
    </row>
    <row r="103" spans="1:54" x14ac:dyDescent="0.3">
      <c r="A103" t="s">
        <v>299</v>
      </c>
      <c r="B103" s="16">
        <v>12</v>
      </c>
      <c r="C103" s="7" t="str">
        <f t="shared" ref="C103:C112" si="2">A103&amp;"_"&amp;B103</f>
        <v>IVR_12</v>
      </c>
      <c r="D103" s="19" t="s">
        <v>311</v>
      </c>
      <c r="E103" s="19">
        <v>1</v>
      </c>
      <c r="F103" s="19">
        <v>0</v>
      </c>
      <c r="G103" s="19">
        <v>2</v>
      </c>
      <c r="H103" t="s">
        <v>43</v>
      </c>
      <c r="I103" t="s">
        <v>41</v>
      </c>
      <c r="J103">
        <v>2</v>
      </c>
      <c r="K103">
        <v>1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1</v>
      </c>
      <c r="Z103">
        <v>1</v>
      </c>
      <c r="AA103">
        <v>5</v>
      </c>
      <c r="AB103">
        <v>2</v>
      </c>
      <c r="AC103">
        <v>3</v>
      </c>
      <c r="AD103">
        <v>10</v>
      </c>
      <c r="AE103">
        <v>4.1666666670000003</v>
      </c>
      <c r="AF103">
        <v>2</v>
      </c>
      <c r="AG103">
        <v>3</v>
      </c>
      <c r="AH103">
        <v>3.0555555559999998</v>
      </c>
      <c r="AI103" t="s">
        <v>324</v>
      </c>
      <c r="AJ103" s="9">
        <v>11</v>
      </c>
      <c r="AK103">
        <v>14997</v>
      </c>
      <c r="AL103" s="33" t="s">
        <v>350</v>
      </c>
      <c r="AM103" t="s">
        <v>351</v>
      </c>
      <c r="AN103" t="s">
        <v>107</v>
      </c>
      <c r="AO103" t="s">
        <v>352</v>
      </c>
      <c r="AP103" t="s">
        <v>109</v>
      </c>
      <c r="AQ103">
        <v>17950</v>
      </c>
      <c r="AR103">
        <v>2091</v>
      </c>
      <c r="AS103">
        <v>1615</v>
      </c>
      <c r="AT103">
        <v>476</v>
      </c>
      <c r="AU103">
        <v>673</v>
      </c>
      <c r="AV103">
        <v>105004</v>
      </c>
      <c r="AW103">
        <v>2387</v>
      </c>
      <c r="AX103">
        <v>30841</v>
      </c>
      <c r="AY103">
        <v>29</v>
      </c>
      <c r="AZ103">
        <v>27174</v>
      </c>
      <c r="BA103">
        <v>0.36799999999999999</v>
      </c>
      <c r="BB103">
        <v>2.1</v>
      </c>
    </row>
    <row r="104" spans="1:54" s="29" customFormat="1" x14ac:dyDescent="0.3">
      <c r="A104" s="29" t="s">
        <v>299</v>
      </c>
      <c r="B104" s="30">
        <v>13</v>
      </c>
      <c r="C104" s="26" t="str">
        <f t="shared" si="2"/>
        <v>IVR_13</v>
      </c>
      <c r="D104" s="31" t="s">
        <v>312</v>
      </c>
      <c r="E104" s="31">
        <v>1</v>
      </c>
      <c r="F104" s="31">
        <v>0</v>
      </c>
      <c r="G104" s="31">
        <v>2</v>
      </c>
      <c r="H104" s="29" t="s">
        <v>44</v>
      </c>
      <c r="I104" s="29" t="s">
        <v>323</v>
      </c>
      <c r="J104" s="29">
        <v>3</v>
      </c>
      <c r="K104" s="29">
        <v>1</v>
      </c>
      <c r="L104" s="29">
        <v>1</v>
      </c>
      <c r="M104" s="29">
        <v>1</v>
      </c>
      <c r="N104" s="29">
        <v>1</v>
      </c>
      <c r="O104" s="29">
        <v>1</v>
      </c>
      <c r="P104" s="29">
        <v>0</v>
      </c>
      <c r="Q104" s="29">
        <v>1</v>
      </c>
      <c r="R104" s="29">
        <v>1</v>
      </c>
      <c r="S104" s="29">
        <v>1</v>
      </c>
      <c r="T104" s="29">
        <v>0</v>
      </c>
      <c r="U104" s="29">
        <v>1</v>
      </c>
      <c r="V104" s="29">
        <v>1</v>
      </c>
      <c r="W104" s="29">
        <v>1</v>
      </c>
      <c r="X104" s="29">
        <v>0</v>
      </c>
      <c r="Y104" s="29">
        <v>0</v>
      </c>
      <c r="Z104" s="29">
        <v>1</v>
      </c>
      <c r="AA104" s="29">
        <v>5</v>
      </c>
      <c r="AB104" s="29">
        <v>4</v>
      </c>
      <c r="AC104" s="29">
        <v>3</v>
      </c>
      <c r="AD104" s="29">
        <v>12</v>
      </c>
      <c r="AE104" s="29">
        <v>4.1666666670000003</v>
      </c>
      <c r="AF104" s="29">
        <v>4</v>
      </c>
      <c r="AG104" s="29">
        <v>3</v>
      </c>
      <c r="AH104" s="29">
        <v>3.7222222220000001</v>
      </c>
      <c r="AI104" s="29" t="s">
        <v>86</v>
      </c>
      <c r="AJ104" s="28">
        <v>12</v>
      </c>
      <c r="AK104" s="29">
        <v>8239</v>
      </c>
      <c r="AL104" s="35" t="s">
        <v>330</v>
      </c>
      <c r="AM104" s="29" t="s">
        <v>353</v>
      </c>
      <c r="AN104" s="29" t="s">
        <v>332</v>
      </c>
      <c r="AO104" s="29" t="s">
        <v>354</v>
      </c>
      <c r="AP104" s="29" t="s">
        <v>109</v>
      </c>
      <c r="AQ104" s="29" t="s">
        <v>86</v>
      </c>
      <c r="AR104" s="29">
        <v>1770</v>
      </c>
      <c r="AS104" s="29">
        <v>1323</v>
      </c>
      <c r="AT104" s="29">
        <v>447</v>
      </c>
      <c r="AU104" s="29">
        <v>511</v>
      </c>
      <c r="AV104" s="29">
        <v>435916</v>
      </c>
      <c r="AW104" s="29">
        <v>1053</v>
      </c>
      <c r="AX104" s="29">
        <v>215318</v>
      </c>
      <c r="AY104" s="29">
        <v>49</v>
      </c>
      <c r="AZ104" s="29">
        <v>18758</v>
      </c>
      <c r="BA104" s="29">
        <v>0.38600000000000001</v>
      </c>
      <c r="BB104" s="29">
        <v>4.7</v>
      </c>
    </row>
    <row r="105" spans="1:54" x14ac:dyDescent="0.3">
      <c r="A105" t="s">
        <v>299</v>
      </c>
      <c r="B105" s="16">
        <v>14</v>
      </c>
      <c r="C105" s="7" t="str">
        <f t="shared" si="2"/>
        <v>IVR_14</v>
      </c>
      <c r="D105" s="19" t="s">
        <v>313</v>
      </c>
      <c r="E105" s="19">
        <v>1</v>
      </c>
      <c r="F105" s="19">
        <v>0</v>
      </c>
      <c r="G105" s="19">
        <v>2</v>
      </c>
      <c r="H105" t="s">
        <v>325</v>
      </c>
      <c r="I105" t="s">
        <v>326</v>
      </c>
      <c r="J105">
        <v>3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6</v>
      </c>
      <c r="AB105">
        <v>1</v>
      </c>
      <c r="AC105">
        <v>4</v>
      </c>
      <c r="AD105">
        <v>11</v>
      </c>
      <c r="AE105">
        <v>5</v>
      </c>
      <c r="AF105">
        <v>1</v>
      </c>
      <c r="AG105">
        <v>4</v>
      </c>
      <c r="AH105">
        <v>3.3333333330000001</v>
      </c>
      <c r="AI105" t="s">
        <v>327</v>
      </c>
      <c r="AJ105" s="9">
        <v>13</v>
      </c>
      <c r="AK105">
        <v>10404</v>
      </c>
      <c r="AL105" s="33" t="s">
        <v>330</v>
      </c>
      <c r="AM105" t="s">
        <v>342</v>
      </c>
      <c r="AN105" t="s">
        <v>332</v>
      </c>
      <c r="AO105" t="s">
        <v>343</v>
      </c>
      <c r="AP105" t="s">
        <v>109</v>
      </c>
      <c r="AQ105">
        <v>13390</v>
      </c>
      <c r="AR105">
        <v>5074</v>
      </c>
      <c r="AS105">
        <v>3686</v>
      </c>
      <c r="AT105">
        <v>1388</v>
      </c>
      <c r="AU105">
        <v>1932</v>
      </c>
      <c r="AV105">
        <v>777228</v>
      </c>
      <c r="AW105">
        <v>1530</v>
      </c>
      <c r="AX105">
        <v>80279</v>
      </c>
      <c r="AY105">
        <v>10</v>
      </c>
      <c r="AZ105">
        <v>18758</v>
      </c>
      <c r="BA105">
        <v>0.38600000000000001</v>
      </c>
      <c r="BB105">
        <v>4.7</v>
      </c>
    </row>
    <row r="106" spans="1:54" x14ac:dyDescent="0.3">
      <c r="A106" t="s">
        <v>299</v>
      </c>
      <c r="B106" s="16">
        <v>15</v>
      </c>
      <c r="C106" s="7" t="str">
        <f t="shared" si="2"/>
        <v>IVR_15</v>
      </c>
      <c r="D106" s="19" t="s">
        <v>314</v>
      </c>
      <c r="E106" s="19">
        <v>0</v>
      </c>
      <c r="F106" s="19">
        <v>0</v>
      </c>
      <c r="G106" s="19">
        <v>1</v>
      </c>
      <c r="H106" t="s">
        <v>42</v>
      </c>
      <c r="I106" t="s">
        <v>321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1</v>
      </c>
      <c r="AA106">
        <v>4</v>
      </c>
      <c r="AB106">
        <v>1</v>
      </c>
      <c r="AC106">
        <v>3</v>
      </c>
      <c r="AD106">
        <v>8</v>
      </c>
      <c r="AE106">
        <v>3.3333333330000001</v>
      </c>
      <c r="AF106">
        <v>1</v>
      </c>
      <c r="AG106">
        <v>3</v>
      </c>
      <c r="AH106">
        <v>2.4444444440000002</v>
      </c>
      <c r="AI106" t="s">
        <v>86</v>
      </c>
      <c r="AJ106" s="9">
        <v>14</v>
      </c>
      <c r="AK106">
        <v>10270</v>
      </c>
      <c r="AL106" s="33" t="s">
        <v>330</v>
      </c>
      <c r="AM106" t="s">
        <v>355</v>
      </c>
      <c r="AN106" t="s">
        <v>332</v>
      </c>
      <c r="AO106" t="s">
        <v>356</v>
      </c>
      <c r="AP106" t="s">
        <v>109</v>
      </c>
      <c r="AQ106">
        <v>24560</v>
      </c>
      <c r="AR106">
        <v>2730</v>
      </c>
      <c r="AS106">
        <v>2032</v>
      </c>
      <c r="AT106">
        <v>698</v>
      </c>
      <c r="AU106">
        <v>827</v>
      </c>
      <c r="AV106">
        <v>193099</v>
      </c>
      <c r="AW106">
        <v>1510</v>
      </c>
      <c r="AX106">
        <v>55834</v>
      </c>
      <c r="AY106">
        <v>29</v>
      </c>
      <c r="AZ106">
        <v>18758</v>
      </c>
      <c r="BA106">
        <v>0.38600000000000001</v>
      </c>
      <c r="BB106">
        <v>4.7</v>
      </c>
    </row>
    <row r="107" spans="1:54" x14ac:dyDescent="0.3">
      <c r="A107" t="s">
        <v>299</v>
      </c>
      <c r="B107" s="16">
        <v>16</v>
      </c>
      <c r="C107" s="7" t="str">
        <f t="shared" si="2"/>
        <v>IVR_16</v>
      </c>
      <c r="D107" s="19" t="s">
        <v>315</v>
      </c>
      <c r="E107" s="19">
        <v>0</v>
      </c>
      <c r="F107" s="19">
        <v>0</v>
      </c>
      <c r="G107" s="19">
        <v>1</v>
      </c>
      <c r="H107" t="s">
        <v>44</v>
      </c>
      <c r="I107" t="s">
        <v>321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1</v>
      </c>
      <c r="AA107">
        <v>2</v>
      </c>
      <c r="AB107">
        <v>2</v>
      </c>
      <c r="AC107">
        <v>3</v>
      </c>
      <c r="AD107">
        <v>7</v>
      </c>
      <c r="AE107">
        <v>1.6666666670000001</v>
      </c>
      <c r="AF107">
        <v>2</v>
      </c>
      <c r="AG107">
        <v>3</v>
      </c>
      <c r="AH107">
        <v>2.2222222220000001</v>
      </c>
      <c r="AI107" t="s">
        <v>86</v>
      </c>
      <c r="AJ107" s="9">
        <v>15</v>
      </c>
      <c r="AK107">
        <v>2458</v>
      </c>
      <c r="AL107" s="33" t="s">
        <v>330</v>
      </c>
      <c r="AM107" t="s">
        <v>357</v>
      </c>
      <c r="AN107" t="s">
        <v>332</v>
      </c>
      <c r="AO107" t="s">
        <v>358</v>
      </c>
      <c r="AP107" t="s">
        <v>109</v>
      </c>
      <c r="AQ107">
        <v>17190</v>
      </c>
      <c r="AR107">
        <v>2462</v>
      </c>
      <c r="AS107">
        <v>1874</v>
      </c>
      <c r="AT107">
        <v>588</v>
      </c>
      <c r="AU107">
        <v>746</v>
      </c>
      <c r="AV107">
        <v>236229</v>
      </c>
      <c r="AW107">
        <v>268</v>
      </c>
      <c r="AX107">
        <v>55203</v>
      </c>
      <c r="AY107">
        <v>23</v>
      </c>
      <c r="AZ107">
        <v>18758</v>
      </c>
      <c r="BA107">
        <v>0.38600000000000001</v>
      </c>
      <c r="BB107">
        <v>4.7</v>
      </c>
    </row>
    <row r="108" spans="1:54" x14ac:dyDescent="0.3">
      <c r="A108" t="s">
        <v>299</v>
      </c>
      <c r="B108" s="16">
        <v>17</v>
      </c>
      <c r="C108" s="7" t="str">
        <f t="shared" si="2"/>
        <v>IVR_17</v>
      </c>
      <c r="D108" s="19" t="s">
        <v>316</v>
      </c>
      <c r="E108" s="19">
        <v>1</v>
      </c>
      <c r="F108" s="19">
        <v>0</v>
      </c>
      <c r="G108" s="19">
        <v>2</v>
      </c>
      <c r="H108" t="s">
        <v>325</v>
      </c>
      <c r="I108" t="s">
        <v>326</v>
      </c>
      <c r="J108">
        <v>4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0</v>
      </c>
      <c r="S108">
        <v>1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1</v>
      </c>
      <c r="Z108">
        <v>1</v>
      </c>
      <c r="AA108">
        <v>6</v>
      </c>
      <c r="AB108">
        <v>3</v>
      </c>
      <c r="AC108">
        <v>3</v>
      </c>
      <c r="AD108">
        <v>12</v>
      </c>
      <c r="AE108">
        <v>5</v>
      </c>
      <c r="AF108">
        <v>3</v>
      </c>
      <c r="AG108">
        <v>3</v>
      </c>
      <c r="AH108">
        <v>3.6666666669999999</v>
      </c>
      <c r="AI108" t="s">
        <v>86</v>
      </c>
      <c r="AJ108" s="9">
        <v>16</v>
      </c>
      <c r="AK108">
        <v>10404</v>
      </c>
      <c r="AL108" s="33" t="s">
        <v>330</v>
      </c>
      <c r="AM108" t="s">
        <v>342</v>
      </c>
      <c r="AN108" t="s">
        <v>332</v>
      </c>
      <c r="AO108" t="s">
        <v>343</v>
      </c>
      <c r="AP108" t="s">
        <v>109</v>
      </c>
      <c r="AQ108">
        <v>13390</v>
      </c>
      <c r="AR108">
        <v>5074</v>
      </c>
      <c r="AS108">
        <v>3686</v>
      </c>
      <c r="AT108">
        <v>1388</v>
      </c>
      <c r="AU108">
        <v>1932</v>
      </c>
      <c r="AV108">
        <v>777228</v>
      </c>
      <c r="AW108">
        <v>1530</v>
      </c>
      <c r="AX108">
        <v>80279</v>
      </c>
      <c r="AY108">
        <v>10</v>
      </c>
      <c r="AZ108">
        <v>18758</v>
      </c>
      <c r="BA108">
        <v>0.38600000000000001</v>
      </c>
      <c r="BB108">
        <v>4.7</v>
      </c>
    </row>
    <row r="109" spans="1:54" x14ac:dyDescent="0.3">
      <c r="A109" t="s">
        <v>299</v>
      </c>
      <c r="B109" s="16">
        <v>18</v>
      </c>
      <c r="C109" s="7" t="str">
        <f t="shared" si="2"/>
        <v>IVR_18</v>
      </c>
      <c r="D109" s="19" t="s">
        <v>317</v>
      </c>
      <c r="E109" s="19">
        <v>1</v>
      </c>
      <c r="F109" s="19">
        <v>0</v>
      </c>
      <c r="G109" s="19">
        <v>1</v>
      </c>
      <c r="H109" t="s">
        <v>328</v>
      </c>
      <c r="I109" t="s">
        <v>323</v>
      </c>
      <c r="J109">
        <v>2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1</v>
      </c>
      <c r="AA109">
        <v>6</v>
      </c>
      <c r="AB109">
        <v>1</v>
      </c>
      <c r="AC109">
        <v>3</v>
      </c>
      <c r="AD109">
        <v>10</v>
      </c>
      <c r="AE109">
        <v>5</v>
      </c>
      <c r="AF109">
        <v>1</v>
      </c>
      <c r="AG109">
        <v>3</v>
      </c>
      <c r="AH109">
        <v>3</v>
      </c>
      <c r="AI109" t="s">
        <v>329</v>
      </c>
      <c r="AJ109" s="9">
        <v>17</v>
      </c>
      <c r="AK109">
        <v>10672</v>
      </c>
      <c r="AL109" s="33" t="s">
        <v>330</v>
      </c>
      <c r="AM109" t="s">
        <v>359</v>
      </c>
      <c r="AN109" t="s">
        <v>332</v>
      </c>
      <c r="AO109" t="s">
        <v>360</v>
      </c>
      <c r="AP109" t="s">
        <v>109</v>
      </c>
      <c r="AQ109">
        <v>17550</v>
      </c>
      <c r="AR109">
        <v>3531</v>
      </c>
      <c r="AS109">
        <v>2518</v>
      </c>
      <c r="AT109">
        <v>1013</v>
      </c>
      <c r="AU109">
        <v>1428</v>
      </c>
      <c r="AV109">
        <v>493432</v>
      </c>
      <c r="AW109">
        <v>1566</v>
      </c>
      <c r="AX109">
        <v>54613</v>
      </c>
      <c r="AY109">
        <v>11</v>
      </c>
      <c r="AZ109">
        <v>18758</v>
      </c>
      <c r="BA109">
        <v>0.38600000000000001</v>
      </c>
      <c r="BB109">
        <v>4.7</v>
      </c>
    </row>
    <row r="110" spans="1:54" x14ac:dyDescent="0.3">
      <c r="A110" t="s">
        <v>299</v>
      </c>
      <c r="B110" s="16">
        <v>19</v>
      </c>
      <c r="C110" s="7" t="str">
        <f t="shared" si="2"/>
        <v>IVR_19</v>
      </c>
      <c r="D110" s="19" t="s">
        <v>318</v>
      </c>
      <c r="E110" s="19">
        <v>0</v>
      </c>
      <c r="F110" s="19">
        <v>0</v>
      </c>
      <c r="G110" s="19">
        <v>1</v>
      </c>
      <c r="H110" t="s">
        <v>42</v>
      </c>
      <c r="I110" t="s">
        <v>50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1</v>
      </c>
      <c r="AB110">
        <v>1</v>
      </c>
      <c r="AC110">
        <v>2</v>
      </c>
      <c r="AD110">
        <v>4</v>
      </c>
      <c r="AE110">
        <v>0.83333333300000001</v>
      </c>
      <c r="AF110">
        <v>1</v>
      </c>
      <c r="AG110">
        <v>2</v>
      </c>
      <c r="AH110">
        <v>1.2777777779999999</v>
      </c>
      <c r="AI110" t="s">
        <v>86</v>
      </c>
      <c r="AJ110" s="9">
        <v>18</v>
      </c>
      <c r="AK110">
        <v>7867</v>
      </c>
      <c r="AL110" s="33" t="s">
        <v>330</v>
      </c>
      <c r="AM110" t="s">
        <v>361</v>
      </c>
      <c r="AN110" t="s">
        <v>332</v>
      </c>
      <c r="AO110" t="s">
        <v>362</v>
      </c>
      <c r="AP110" t="s">
        <v>109</v>
      </c>
      <c r="AQ110">
        <v>19030</v>
      </c>
      <c r="AR110">
        <v>2642</v>
      </c>
      <c r="AS110">
        <v>2208</v>
      </c>
      <c r="AT110">
        <v>435</v>
      </c>
      <c r="AU110">
        <v>691</v>
      </c>
      <c r="AV110">
        <v>72379</v>
      </c>
      <c r="AW110">
        <v>938</v>
      </c>
      <c r="AX110">
        <v>7324</v>
      </c>
      <c r="AY110">
        <v>10</v>
      </c>
      <c r="AZ110">
        <v>18758</v>
      </c>
      <c r="BA110">
        <v>0.38600000000000001</v>
      </c>
      <c r="BB110">
        <v>4.7</v>
      </c>
    </row>
    <row r="111" spans="1:54" x14ac:dyDescent="0.3">
      <c r="A111" t="s">
        <v>299</v>
      </c>
      <c r="B111" s="16">
        <v>20</v>
      </c>
      <c r="C111" s="7" t="str">
        <f t="shared" si="2"/>
        <v>IVR_20</v>
      </c>
      <c r="D111" s="19" t="s">
        <v>319</v>
      </c>
      <c r="E111" s="19">
        <v>1</v>
      </c>
      <c r="F111" s="19">
        <v>0</v>
      </c>
      <c r="G111" s="19">
        <v>2</v>
      </c>
      <c r="H111" t="s">
        <v>44</v>
      </c>
      <c r="I111" t="s">
        <v>323</v>
      </c>
      <c r="J111">
        <v>1</v>
      </c>
      <c r="K111">
        <v>1</v>
      </c>
      <c r="L111">
        <v>1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4</v>
      </c>
      <c r="AB111">
        <v>0</v>
      </c>
      <c r="AC111">
        <v>1</v>
      </c>
      <c r="AD111">
        <v>5</v>
      </c>
      <c r="AE111">
        <v>3.3333333330000001</v>
      </c>
      <c r="AF111">
        <v>0</v>
      </c>
      <c r="AG111">
        <v>1</v>
      </c>
      <c r="AH111">
        <v>1.4444444439999999</v>
      </c>
      <c r="AI111" t="s">
        <v>86</v>
      </c>
      <c r="AJ111" s="9">
        <v>19</v>
      </c>
      <c r="AK111">
        <v>9775</v>
      </c>
      <c r="AL111" s="33" t="s">
        <v>330</v>
      </c>
      <c r="AM111" t="s">
        <v>336</v>
      </c>
      <c r="AN111" t="s">
        <v>332</v>
      </c>
      <c r="AO111" t="s">
        <v>337</v>
      </c>
      <c r="AP111" t="s">
        <v>109</v>
      </c>
      <c r="AQ111">
        <v>18940</v>
      </c>
      <c r="AR111">
        <v>2500</v>
      </c>
      <c r="AS111">
        <v>1833</v>
      </c>
      <c r="AT111">
        <v>667</v>
      </c>
      <c r="AU111">
        <v>882</v>
      </c>
      <c r="AV111">
        <v>124545</v>
      </c>
      <c r="AW111">
        <v>1397</v>
      </c>
      <c r="AX111">
        <v>33407</v>
      </c>
      <c r="AY111">
        <v>27</v>
      </c>
      <c r="AZ111">
        <v>18758</v>
      </c>
      <c r="BA111">
        <v>0.38600000000000001</v>
      </c>
      <c r="BB111">
        <v>4.7</v>
      </c>
    </row>
    <row r="112" spans="1:54" x14ac:dyDescent="0.3">
      <c r="A112" t="s">
        <v>299</v>
      </c>
      <c r="B112" s="16">
        <v>21</v>
      </c>
      <c r="C112" s="7" t="str">
        <f t="shared" si="2"/>
        <v>IVR_21</v>
      </c>
      <c r="D112" s="19" t="s">
        <v>320</v>
      </c>
      <c r="E112" s="19">
        <v>0</v>
      </c>
      <c r="F112" s="19">
        <v>0</v>
      </c>
      <c r="G112" s="19">
        <v>1</v>
      </c>
      <c r="H112" t="s">
        <v>43</v>
      </c>
      <c r="I112" t="s">
        <v>321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1</v>
      </c>
      <c r="AB112">
        <v>1</v>
      </c>
      <c r="AC112">
        <v>2</v>
      </c>
      <c r="AD112">
        <v>4</v>
      </c>
      <c r="AE112">
        <v>0.83333333300000001</v>
      </c>
      <c r="AF112">
        <v>1</v>
      </c>
      <c r="AG112">
        <v>2</v>
      </c>
      <c r="AH112">
        <v>1.2777777779999999</v>
      </c>
      <c r="AI112" t="s">
        <v>86</v>
      </c>
      <c r="AJ112" s="9">
        <v>20</v>
      </c>
      <c r="AK112">
        <v>7402</v>
      </c>
      <c r="AL112" s="33" t="s">
        <v>330</v>
      </c>
      <c r="AM112" t="s">
        <v>331</v>
      </c>
      <c r="AN112" t="s">
        <v>332</v>
      </c>
      <c r="AO112" t="s">
        <v>333</v>
      </c>
      <c r="AP112" t="s">
        <v>109</v>
      </c>
      <c r="AQ112">
        <v>19260</v>
      </c>
      <c r="AR112">
        <v>3442</v>
      </c>
      <c r="AS112">
        <v>2862</v>
      </c>
      <c r="AT112">
        <v>580</v>
      </c>
      <c r="AU112">
        <v>731</v>
      </c>
      <c r="AV112">
        <v>197139</v>
      </c>
      <c r="AW112">
        <v>826</v>
      </c>
      <c r="AX112">
        <v>53382</v>
      </c>
      <c r="AY112">
        <v>27</v>
      </c>
      <c r="AZ112">
        <v>18758</v>
      </c>
      <c r="BA112">
        <v>0.38600000000000001</v>
      </c>
      <c r="BB112">
        <v>4.7</v>
      </c>
    </row>
    <row r="116" spans="36:36" x14ac:dyDescent="0.3">
      <c r="AJ116"/>
    </row>
    <row r="117" spans="36:36" x14ac:dyDescent="0.3">
      <c r="AJ117"/>
    </row>
    <row r="118" spans="36:36" x14ac:dyDescent="0.3">
      <c r="AJ118"/>
    </row>
    <row r="119" spans="36:36" x14ac:dyDescent="0.3">
      <c r="AJ119"/>
    </row>
    <row r="120" spans="36:36" x14ac:dyDescent="0.3">
      <c r="AJ120"/>
    </row>
    <row r="121" spans="36:36" x14ac:dyDescent="0.3">
      <c r="AJ121"/>
    </row>
    <row r="122" spans="36:36" x14ac:dyDescent="0.3">
      <c r="AJ122"/>
    </row>
    <row r="123" spans="36:36" x14ac:dyDescent="0.3">
      <c r="AJ123"/>
    </row>
    <row r="124" spans="36:36" x14ac:dyDescent="0.3">
      <c r="AJ124"/>
    </row>
    <row r="125" spans="36:36" x14ac:dyDescent="0.3">
      <c r="AJ125"/>
    </row>
    <row r="126" spans="36:36" x14ac:dyDescent="0.3">
      <c r="AJ126"/>
    </row>
    <row r="127" spans="36:36" x14ac:dyDescent="0.3">
      <c r="AJ127"/>
    </row>
    <row r="128" spans="36:36" x14ac:dyDescent="0.3">
      <c r="AJ128"/>
    </row>
    <row r="129" spans="36:36" x14ac:dyDescent="0.3">
      <c r="AJ129"/>
    </row>
    <row r="130" spans="36:36" x14ac:dyDescent="0.3">
      <c r="AJ130"/>
    </row>
    <row r="131" spans="36:36" x14ac:dyDescent="0.3">
      <c r="AJ131"/>
    </row>
    <row r="132" spans="36:36" x14ac:dyDescent="0.3">
      <c r="AJ132"/>
    </row>
    <row r="133" spans="36:36" x14ac:dyDescent="0.3">
      <c r="AJ133"/>
    </row>
    <row r="134" spans="36:36" x14ac:dyDescent="0.3">
      <c r="AJ134"/>
    </row>
    <row r="135" spans="36:36" x14ac:dyDescent="0.3">
      <c r="AJ135"/>
    </row>
    <row r="136" spans="36:36" x14ac:dyDescent="0.3">
      <c r="AJ136"/>
    </row>
  </sheetData>
  <pageMargins left="0.7" right="0.7" top="0.75" bottom="0.75" header="0.3" footer="0.3"/>
  <ignoredErrors>
    <ignoredError sqref="AL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92EC-4C8E-4620-A805-978636B216C4}">
  <dimension ref="A1:F99"/>
  <sheetViews>
    <sheetView topLeftCell="A66" zoomScale="70" zoomScaleNormal="70" workbookViewId="0">
      <selection activeCell="F91" sqref="F91"/>
    </sheetView>
  </sheetViews>
  <sheetFormatPr defaultRowHeight="14.4" x14ac:dyDescent="0.3"/>
  <cols>
    <col min="1" max="1" width="5.88671875" bestFit="1" customWidth="1"/>
    <col min="2" max="2" width="8.88671875" style="16"/>
    <col min="4" max="4" width="12.77734375" bestFit="1" customWidth="1"/>
    <col min="5" max="5" width="11.6640625" bestFit="1" customWidth="1"/>
    <col min="6" max="6" width="11.88671875" style="5" bestFit="1" customWidth="1"/>
  </cols>
  <sheetData>
    <row r="1" spans="1:6" s="2" customFormat="1" ht="15.6" x14ac:dyDescent="0.3">
      <c r="A1" s="3" t="s">
        <v>85</v>
      </c>
      <c r="B1" s="17" t="s">
        <v>84</v>
      </c>
      <c r="C1" s="2" t="s">
        <v>0</v>
      </c>
      <c r="D1" s="2" t="s">
        <v>56</v>
      </c>
      <c r="E1" s="2" t="s">
        <v>93</v>
      </c>
      <c r="F1" s="23" t="s">
        <v>102</v>
      </c>
    </row>
    <row r="2" spans="1:6" x14ac:dyDescent="0.3">
      <c r="A2" s="6">
        <v>19</v>
      </c>
      <c r="B2" s="8">
        <v>1</v>
      </c>
      <c r="C2" s="7" t="str">
        <f>A2&amp;"_"&amp;B2</f>
        <v>19_1</v>
      </c>
      <c r="D2" s="6">
        <v>1.2777777779999999</v>
      </c>
      <c r="E2">
        <v>30940</v>
      </c>
      <c r="F2" s="5">
        <v>23713</v>
      </c>
    </row>
    <row r="3" spans="1:6" x14ac:dyDescent="0.3">
      <c r="A3" s="6">
        <v>19</v>
      </c>
      <c r="B3" s="8">
        <v>3</v>
      </c>
      <c r="C3" s="7" t="str">
        <f t="shared" ref="C3:C35" si="0">A3&amp;"_"&amp;B3</f>
        <v>19_3</v>
      </c>
      <c r="D3" s="6">
        <v>1.2777777779999999</v>
      </c>
      <c r="E3">
        <v>32600</v>
      </c>
      <c r="F3" s="5">
        <v>23713</v>
      </c>
    </row>
    <row r="4" spans="1:6" x14ac:dyDescent="0.3">
      <c r="A4" s="6">
        <v>19</v>
      </c>
      <c r="B4" s="8">
        <v>4</v>
      </c>
      <c r="C4" s="7" t="str">
        <f t="shared" si="0"/>
        <v>19_4</v>
      </c>
      <c r="D4" s="6">
        <v>3.3333333330000001</v>
      </c>
      <c r="E4">
        <v>30940</v>
      </c>
      <c r="F4" s="5">
        <v>23713</v>
      </c>
    </row>
    <row r="5" spans="1:6" x14ac:dyDescent="0.3">
      <c r="A5" s="6">
        <v>19</v>
      </c>
      <c r="B5" s="8">
        <v>5</v>
      </c>
      <c r="C5" s="7" t="str">
        <f t="shared" si="0"/>
        <v>19_5</v>
      </c>
      <c r="D5" s="6">
        <v>1.7777777779999999</v>
      </c>
      <c r="E5">
        <v>32600</v>
      </c>
      <c r="F5" s="5">
        <v>23713</v>
      </c>
    </row>
    <row r="6" spans="1:6" x14ac:dyDescent="0.3">
      <c r="A6" s="6">
        <v>19</v>
      </c>
      <c r="B6" s="8">
        <v>6</v>
      </c>
      <c r="C6" s="7" t="str">
        <f t="shared" si="0"/>
        <v>19_6</v>
      </c>
      <c r="D6" s="6">
        <v>0.88888888899999996</v>
      </c>
      <c r="E6">
        <v>32600</v>
      </c>
      <c r="F6" s="5">
        <v>23713</v>
      </c>
    </row>
    <row r="7" spans="1:6" x14ac:dyDescent="0.3">
      <c r="A7" s="6">
        <v>19</v>
      </c>
      <c r="B7" s="8">
        <v>7</v>
      </c>
      <c r="C7" s="7" t="str">
        <f t="shared" si="0"/>
        <v>19_7</v>
      </c>
      <c r="D7" s="6">
        <v>1.2222222220000001</v>
      </c>
      <c r="E7">
        <v>32600</v>
      </c>
      <c r="F7" s="5">
        <v>23713</v>
      </c>
    </row>
    <row r="8" spans="1:6" x14ac:dyDescent="0.3">
      <c r="A8" s="6">
        <v>19</v>
      </c>
      <c r="B8" s="8">
        <v>8</v>
      </c>
      <c r="C8" s="7" t="str">
        <f t="shared" si="0"/>
        <v>19_8</v>
      </c>
      <c r="D8" s="6">
        <v>2.4444444440000002</v>
      </c>
      <c r="E8">
        <v>32600</v>
      </c>
      <c r="F8" s="5">
        <v>23713</v>
      </c>
    </row>
    <row r="9" spans="1:6" x14ac:dyDescent="0.3">
      <c r="A9" s="6">
        <v>19</v>
      </c>
      <c r="B9" s="8">
        <v>9</v>
      </c>
      <c r="C9" s="7" t="str">
        <f t="shared" si="0"/>
        <v>19_9</v>
      </c>
      <c r="D9" s="6">
        <v>2.4444444440000002</v>
      </c>
      <c r="E9">
        <v>32600</v>
      </c>
      <c r="F9" s="5">
        <v>23713</v>
      </c>
    </row>
    <row r="10" spans="1:6" x14ac:dyDescent="0.3">
      <c r="A10" s="6">
        <v>19</v>
      </c>
      <c r="B10" s="8">
        <v>10</v>
      </c>
      <c r="C10" s="7" t="str">
        <f t="shared" si="0"/>
        <v>19_10</v>
      </c>
      <c r="D10" s="6">
        <v>1.7777777779999999</v>
      </c>
      <c r="E10">
        <v>36590</v>
      </c>
      <c r="F10" s="5">
        <v>23713</v>
      </c>
    </row>
    <row r="11" spans="1:6" x14ac:dyDescent="0.3">
      <c r="A11" s="6">
        <v>19</v>
      </c>
      <c r="B11" s="8">
        <v>11</v>
      </c>
      <c r="C11" s="7" t="str">
        <f t="shared" si="0"/>
        <v>19_11</v>
      </c>
      <c r="D11" s="6">
        <v>2.1666666669999999</v>
      </c>
      <c r="E11">
        <v>38780</v>
      </c>
      <c r="F11" s="5">
        <v>23713</v>
      </c>
    </row>
    <row r="12" spans="1:6" x14ac:dyDescent="0.3">
      <c r="A12" s="6">
        <v>19</v>
      </c>
      <c r="B12" s="8">
        <v>12</v>
      </c>
      <c r="C12" s="7" t="str">
        <f t="shared" si="0"/>
        <v>19_12</v>
      </c>
      <c r="D12" s="6">
        <v>2.2222222220000001</v>
      </c>
      <c r="E12">
        <v>38780</v>
      </c>
      <c r="F12" s="5">
        <v>23713</v>
      </c>
    </row>
    <row r="13" spans="1:6" x14ac:dyDescent="0.3">
      <c r="A13" s="6">
        <v>19</v>
      </c>
      <c r="B13" s="8">
        <v>13</v>
      </c>
      <c r="C13" s="7" t="str">
        <f t="shared" si="0"/>
        <v>19_13</v>
      </c>
      <c r="D13" s="6">
        <v>1.888888889</v>
      </c>
      <c r="E13">
        <v>38780</v>
      </c>
      <c r="F13" s="5">
        <v>23713</v>
      </c>
    </row>
    <row r="14" spans="1:6" x14ac:dyDescent="0.3">
      <c r="A14" s="6">
        <v>19</v>
      </c>
      <c r="B14" s="8">
        <v>14</v>
      </c>
      <c r="C14" s="7" t="str">
        <f t="shared" si="0"/>
        <v>19_14</v>
      </c>
      <c r="D14" s="6">
        <v>1.2222222220000001</v>
      </c>
      <c r="E14">
        <v>38780</v>
      </c>
      <c r="F14" s="5">
        <v>23713</v>
      </c>
    </row>
    <row r="15" spans="1:6" x14ac:dyDescent="0.3">
      <c r="A15" s="6">
        <v>19</v>
      </c>
      <c r="B15" s="8">
        <v>15</v>
      </c>
      <c r="C15" s="7" t="str">
        <f t="shared" si="0"/>
        <v>19_15</v>
      </c>
      <c r="D15" s="6">
        <v>2.1666666669999999</v>
      </c>
      <c r="E15">
        <v>16780</v>
      </c>
      <c r="F15" s="5">
        <v>23713</v>
      </c>
    </row>
    <row r="16" spans="1:6" x14ac:dyDescent="0.3">
      <c r="A16" s="6">
        <v>19</v>
      </c>
      <c r="B16" s="8">
        <v>16</v>
      </c>
      <c r="C16" s="7" t="str">
        <f t="shared" si="0"/>
        <v>19_16</v>
      </c>
      <c r="D16" s="6">
        <v>2.1666666669999999</v>
      </c>
      <c r="E16">
        <v>16780</v>
      </c>
      <c r="F16" s="5">
        <v>23713</v>
      </c>
    </row>
    <row r="17" spans="1:6" x14ac:dyDescent="0.3">
      <c r="A17" s="6">
        <v>19</v>
      </c>
      <c r="B17" s="8">
        <v>17</v>
      </c>
      <c r="C17" s="7" t="str">
        <f t="shared" si="0"/>
        <v>19_17</v>
      </c>
      <c r="D17" s="6">
        <v>2.111111111</v>
      </c>
      <c r="E17">
        <v>13570</v>
      </c>
      <c r="F17" s="5">
        <v>23713</v>
      </c>
    </row>
    <row r="18" spans="1:6" x14ac:dyDescent="0.3">
      <c r="A18" s="6">
        <v>19</v>
      </c>
      <c r="B18" s="8">
        <v>18</v>
      </c>
      <c r="C18" s="7" t="str">
        <f t="shared" si="0"/>
        <v>19_18</v>
      </c>
      <c r="D18" s="6">
        <v>1.8333333329999999</v>
      </c>
      <c r="E18">
        <v>13570</v>
      </c>
      <c r="F18" s="5">
        <v>23713</v>
      </c>
    </row>
    <row r="19" spans="1:6" x14ac:dyDescent="0.3">
      <c r="A19" s="6">
        <v>19</v>
      </c>
      <c r="B19" s="8">
        <v>19</v>
      </c>
      <c r="C19" s="7" t="str">
        <f t="shared" si="0"/>
        <v>19_19</v>
      </c>
      <c r="D19" s="6">
        <v>2.5</v>
      </c>
      <c r="E19">
        <v>16780</v>
      </c>
      <c r="F19" s="5">
        <v>23713</v>
      </c>
    </row>
    <row r="20" spans="1:6" x14ac:dyDescent="0.3">
      <c r="A20" s="6">
        <v>19</v>
      </c>
      <c r="B20" s="8">
        <v>20</v>
      </c>
      <c r="C20" s="7" t="str">
        <f t="shared" si="0"/>
        <v>19_20</v>
      </c>
      <c r="D20" s="6">
        <v>0.88888888899999996</v>
      </c>
      <c r="E20">
        <v>25490</v>
      </c>
      <c r="F20" s="5">
        <v>23713</v>
      </c>
    </row>
    <row r="21" spans="1:6" x14ac:dyDescent="0.3">
      <c r="A21" s="6">
        <v>19</v>
      </c>
      <c r="B21" s="8">
        <v>21</v>
      </c>
      <c r="C21" s="7" t="str">
        <f t="shared" si="0"/>
        <v>19_21</v>
      </c>
      <c r="D21" s="6">
        <v>3.7222222220000001</v>
      </c>
      <c r="E21">
        <v>19500</v>
      </c>
      <c r="F21" s="5">
        <v>23713</v>
      </c>
    </row>
    <row r="22" spans="1:6" x14ac:dyDescent="0.3">
      <c r="A22" s="6">
        <v>19</v>
      </c>
      <c r="B22" s="8">
        <v>22</v>
      </c>
      <c r="C22" s="7" t="str">
        <f t="shared" si="0"/>
        <v>19_22</v>
      </c>
      <c r="D22" s="6">
        <v>2.4444444440000002</v>
      </c>
      <c r="E22">
        <v>30940</v>
      </c>
      <c r="F22" s="5">
        <v>23713</v>
      </c>
    </row>
    <row r="23" spans="1:6" x14ac:dyDescent="0.3">
      <c r="A23" s="6">
        <v>19</v>
      </c>
      <c r="B23" s="8">
        <v>23</v>
      </c>
      <c r="C23" s="7" t="str">
        <f t="shared" si="0"/>
        <v>19_23</v>
      </c>
      <c r="D23" s="6">
        <v>2.2222222220000001</v>
      </c>
      <c r="E23">
        <v>19180</v>
      </c>
      <c r="F23" s="5">
        <v>23713</v>
      </c>
    </row>
    <row r="24" spans="1:6" x14ac:dyDescent="0.3">
      <c r="A24" s="6">
        <v>19</v>
      </c>
      <c r="B24" s="8">
        <v>24</v>
      </c>
      <c r="C24" s="7" t="str">
        <f t="shared" si="0"/>
        <v>19_24</v>
      </c>
      <c r="D24" s="6">
        <v>1.4444444439999999</v>
      </c>
      <c r="E24">
        <v>15630</v>
      </c>
      <c r="F24" s="5">
        <v>23713</v>
      </c>
    </row>
    <row r="25" spans="1:6" x14ac:dyDescent="0.3">
      <c r="A25" s="6">
        <v>19</v>
      </c>
      <c r="B25" s="8">
        <v>25</v>
      </c>
      <c r="C25" s="7" t="str">
        <f t="shared" si="0"/>
        <v>19_25</v>
      </c>
      <c r="D25" s="6">
        <v>3.6666666669999999</v>
      </c>
      <c r="E25">
        <v>17190</v>
      </c>
      <c r="F25" s="5">
        <v>23713</v>
      </c>
    </row>
    <row r="26" spans="1:6" x14ac:dyDescent="0.3">
      <c r="A26" s="6">
        <v>19</v>
      </c>
      <c r="B26" s="8">
        <v>26</v>
      </c>
      <c r="C26" s="7" t="str">
        <f t="shared" si="0"/>
        <v>19_26</v>
      </c>
      <c r="D26" s="6">
        <v>1.7222222220000001</v>
      </c>
      <c r="E26">
        <v>16960</v>
      </c>
      <c r="F26" s="5">
        <v>23713</v>
      </c>
    </row>
    <row r="27" spans="1:6" x14ac:dyDescent="0.3">
      <c r="A27" s="6">
        <v>19</v>
      </c>
      <c r="B27" s="8">
        <v>27</v>
      </c>
      <c r="C27" s="7" t="str">
        <f t="shared" si="0"/>
        <v>19_27</v>
      </c>
      <c r="D27" s="6">
        <v>1.2777777779999999</v>
      </c>
      <c r="E27">
        <v>17190</v>
      </c>
      <c r="F27" s="5">
        <v>23713</v>
      </c>
    </row>
    <row r="28" spans="1:6" x14ac:dyDescent="0.3">
      <c r="A28" s="6">
        <v>19</v>
      </c>
      <c r="B28" s="8">
        <v>28</v>
      </c>
      <c r="C28" s="7" t="str">
        <f t="shared" si="0"/>
        <v>19_28</v>
      </c>
      <c r="D28" s="6">
        <v>3</v>
      </c>
      <c r="E28">
        <v>24460</v>
      </c>
      <c r="F28" s="5">
        <v>23713</v>
      </c>
    </row>
    <row r="29" spans="1:6" x14ac:dyDescent="0.3">
      <c r="A29" s="6">
        <v>19</v>
      </c>
      <c r="B29" s="8">
        <v>29</v>
      </c>
      <c r="C29" s="7" t="str">
        <f t="shared" si="0"/>
        <v>19_29</v>
      </c>
      <c r="D29" s="6">
        <v>1.5</v>
      </c>
      <c r="E29">
        <v>25470</v>
      </c>
      <c r="F29" s="5">
        <v>31633</v>
      </c>
    </row>
    <row r="30" spans="1:6" x14ac:dyDescent="0.3">
      <c r="A30" s="6">
        <v>19</v>
      </c>
      <c r="B30" s="8">
        <v>30</v>
      </c>
      <c r="C30" s="7" t="str">
        <f t="shared" si="0"/>
        <v>19_30</v>
      </c>
      <c r="D30" s="6">
        <v>3.111111111</v>
      </c>
      <c r="E30">
        <v>17020</v>
      </c>
      <c r="F30" s="5">
        <v>23713</v>
      </c>
    </row>
    <row r="31" spans="1:6" x14ac:dyDescent="0.3">
      <c r="A31" s="6">
        <v>19</v>
      </c>
      <c r="B31" s="8">
        <v>31</v>
      </c>
      <c r="C31" s="7" t="str">
        <f t="shared" si="0"/>
        <v>19_31</v>
      </c>
      <c r="D31" s="6">
        <v>1.7777777779999999</v>
      </c>
      <c r="E31">
        <v>14320</v>
      </c>
      <c r="F31" s="5">
        <v>23713</v>
      </c>
    </row>
    <row r="32" spans="1:6" x14ac:dyDescent="0.3">
      <c r="A32" s="6">
        <v>19</v>
      </c>
      <c r="B32" s="8">
        <v>33</v>
      </c>
      <c r="C32" s="7" t="str">
        <f t="shared" si="0"/>
        <v>19_33</v>
      </c>
      <c r="D32" s="6">
        <v>2.388888889</v>
      </c>
      <c r="E32">
        <v>17190</v>
      </c>
      <c r="F32" s="5">
        <v>23713</v>
      </c>
    </row>
    <row r="33" spans="1:6" x14ac:dyDescent="0.3">
      <c r="A33" s="6">
        <v>19</v>
      </c>
      <c r="B33" s="8">
        <v>34</v>
      </c>
      <c r="C33" s="7" t="str">
        <f t="shared" si="0"/>
        <v>19_34</v>
      </c>
      <c r="D33" s="6">
        <v>2.4444444440000002</v>
      </c>
      <c r="E33">
        <v>17020</v>
      </c>
      <c r="F33" s="5">
        <v>23713</v>
      </c>
    </row>
    <row r="34" spans="1:6" x14ac:dyDescent="0.3">
      <c r="A34" s="6">
        <v>19</v>
      </c>
      <c r="B34" s="8">
        <v>35</v>
      </c>
      <c r="C34" s="7" t="str">
        <f t="shared" si="0"/>
        <v>19_35</v>
      </c>
      <c r="D34" s="6">
        <v>2.2222222220000001</v>
      </c>
      <c r="E34">
        <v>24760</v>
      </c>
      <c r="F34" s="5">
        <v>23713</v>
      </c>
    </row>
    <row r="35" spans="1:6" x14ac:dyDescent="0.3">
      <c r="A35" s="6">
        <v>19</v>
      </c>
      <c r="B35" s="8">
        <v>36</v>
      </c>
      <c r="C35" s="7" t="str">
        <f t="shared" si="0"/>
        <v>19_36</v>
      </c>
      <c r="D35" s="1">
        <v>2.7222222220000001</v>
      </c>
      <c r="E35">
        <v>14610</v>
      </c>
      <c r="F35" s="5">
        <v>23713</v>
      </c>
    </row>
    <row r="36" spans="1:6" x14ac:dyDescent="0.3">
      <c r="A36" s="6">
        <v>19</v>
      </c>
      <c r="B36" s="8">
        <v>37</v>
      </c>
      <c r="C36" s="7" t="str">
        <f>A36&amp;"_"&amp;B36</f>
        <v>19_37</v>
      </c>
      <c r="D36" s="6">
        <v>1.7777777779999999</v>
      </c>
      <c r="E36">
        <v>27130</v>
      </c>
      <c r="F36" s="5">
        <v>23713</v>
      </c>
    </row>
    <row r="37" spans="1:6" x14ac:dyDescent="0.3">
      <c r="A37" s="6">
        <v>7</v>
      </c>
      <c r="B37" s="16">
        <v>1</v>
      </c>
      <c r="C37" s="7" t="str">
        <f t="shared" ref="C37:C90" si="1">A37&amp;"_"&amp;B37</f>
        <v>7_1</v>
      </c>
      <c r="D37" s="6">
        <v>3</v>
      </c>
      <c r="E37">
        <v>50120</v>
      </c>
      <c r="F37" s="5">
        <v>37053</v>
      </c>
    </row>
    <row r="38" spans="1:6" x14ac:dyDescent="0.3">
      <c r="A38" s="6">
        <v>7</v>
      </c>
      <c r="B38" s="16">
        <v>2</v>
      </c>
      <c r="C38" s="7" t="str">
        <f t="shared" si="1"/>
        <v>7_2</v>
      </c>
      <c r="D38">
        <v>1.611111111</v>
      </c>
      <c r="E38">
        <v>44420</v>
      </c>
      <c r="F38" s="5">
        <v>54890</v>
      </c>
    </row>
    <row r="39" spans="1:6" x14ac:dyDescent="0.3">
      <c r="A39" s="6">
        <v>7</v>
      </c>
      <c r="B39" s="16">
        <v>3</v>
      </c>
      <c r="C39" s="7" t="str">
        <f t="shared" si="1"/>
        <v>7_3</v>
      </c>
      <c r="D39">
        <v>2.0555555559999998</v>
      </c>
      <c r="E39">
        <v>46120</v>
      </c>
      <c r="F39" s="5">
        <v>54890</v>
      </c>
    </row>
    <row r="40" spans="1:6" x14ac:dyDescent="0.3">
      <c r="A40" s="6">
        <v>7</v>
      </c>
      <c r="B40" s="16">
        <v>5</v>
      </c>
      <c r="C40" s="7" t="str">
        <f t="shared" si="1"/>
        <v>7_5</v>
      </c>
      <c r="D40">
        <v>1.1666666670000001</v>
      </c>
      <c r="E40">
        <v>59570</v>
      </c>
      <c r="F40" s="5">
        <v>54890</v>
      </c>
    </row>
    <row r="41" spans="1:6" x14ac:dyDescent="0.3">
      <c r="A41" s="6">
        <v>7</v>
      </c>
      <c r="B41" s="16">
        <v>7</v>
      </c>
      <c r="C41" s="7" t="str">
        <f t="shared" si="1"/>
        <v>7_7</v>
      </c>
      <c r="D41">
        <v>1.2777777779999999</v>
      </c>
      <c r="E41">
        <v>56170</v>
      </c>
      <c r="F41" s="5">
        <v>54890</v>
      </c>
    </row>
    <row r="42" spans="1:6" x14ac:dyDescent="0.3">
      <c r="A42" s="6">
        <v>7</v>
      </c>
      <c r="B42" s="16">
        <v>8</v>
      </c>
      <c r="C42" s="7" t="str">
        <f t="shared" si="1"/>
        <v>7_8</v>
      </c>
      <c r="D42">
        <v>3.388888889</v>
      </c>
      <c r="E42">
        <v>46120</v>
      </c>
      <c r="F42" s="5">
        <v>54890</v>
      </c>
    </row>
    <row r="43" spans="1:6" x14ac:dyDescent="0.3">
      <c r="A43" s="6">
        <v>7</v>
      </c>
      <c r="B43" s="16">
        <v>9</v>
      </c>
      <c r="C43" s="7" t="str">
        <f t="shared" si="1"/>
        <v>7_9</v>
      </c>
      <c r="D43">
        <v>1.7777777779999999</v>
      </c>
      <c r="E43">
        <v>51220</v>
      </c>
      <c r="F43" s="5">
        <v>54890</v>
      </c>
    </row>
    <row r="44" spans="1:6" x14ac:dyDescent="0.3">
      <c r="A44" s="6">
        <v>7</v>
      </c>
      <c r="B44" s="16">
        <v>10</v>
      </c>
      <c r="C44" s="7" t="str">
        <f t="shared" si="1"/>
        <v>7_10</v>
      </c>
      <c r="D44">
        <v>1.2777777779999999</v>
      </c>
      <c r="E44">
        <v>55100</v>
      </c>
      <c r="F44" s="5">
        <v>54890</v>
      </c>
    </row>
    <row r="45" spans="1:6" x14ac:dyDescent="0.3">
      <c r="A45" s="6">
        <v>7</v>
      </c>
      <c r="B45" s="16">
        <v>11</v>
      </c>
      <c r="C45" s="7" t="str">
        <f t="shared" si="1"/>
        <v>7_11</v>
      </c>
      <c r="D45">
        <v>1.2777777779999999</v>
      </c>
      <c r="E45">
        <v>46120</v>
      </c>
      <c r="F45" s="5">
        <v>54890</v>
      </c>
    </row>
    <row r="46" spans="1:6" x14ac:dyDescent="0.3">
      <c r="A46" s="6">
        <v>7</v>
      </c>
      <c r="B46" s="16">
        <v>13</v>
      </c>
      <c r="C46" s="7" t="str">
        <f t="shared" si="1"/>
        <v>7_13</v>
      </c>
      <c r="D46">
        <v>1.7777777779999999</v>
      </c>
      <c r="E46">
        <v>68670</v>
      </c>
      <c r="F46" s="5">
        <v>54890</v>
      </c>
    </row>
    <row r="47" spans="1:6" x14ac:dyDescent="0.3">
      <c r="A47" s="6">
        <v>7</v>
      </c>
      <c r="B47" s="16">
        <v>15</v>
      </c>
      <c r="C47" s="7" t="str">
        <f t="shared" si="1"/>
        <v>7_15</v>
      </c>
      <c r="D47">
        <v>3.3333333330000001</v>
      </c>
      <c r="E47">
        <v>52430</v>
      </c>
      <c r="F47" s="5">
        <v>54890</v>
      </c>
    </row>
    <row r="48" spans="1:6" x14ac:dyDescent="0.3">
      <c r="A48" s="6">
        <v>7</v>
      </c>
      <c r="B48" s="16">
        <v>16</v>
      </c>
      <c r="C48" s="7" t="str">
        <f t="shared" si="1"/>
        <v>7_16</v>
      </c>
      <c r="D48">
        <v>1.2777777779999999</v>
      </c>
      <c r="E48">
        <v>66680</v>
      </c>
      <c r="F48" s="5">
        <v>54890</v>
      </c>
    </row>
    <row r="49" spans="1:6" x14ac:dyDescent="0.3">
      <c r="A49" s="6">
        <v>7</v>
      </c>
      <c r="B49" s="16">
        <v>17</v>
      </c>
      <c r="C49" s="7" t="str">
        <f t="shared" si="1"/>
        <v>7_17</v>
      </c>
      <c r="D49">
        <v>2.7777777779999999</v>
      </c>
      <c r="E49">
        <v>68670</v>
      </c>
      <c r="F49" s="5">
        <v>54890</v>
      </c>
    </row>
    <row r="50" spans="1:6" x14ac:dyDescent="0.3">
      <c r="A50" s="6">
        <v>7</v>
      </c>
      <c r="B50" s="16">
        <v>18</v>
      </c>
      <c r="C50" s="7" t="str">
        <f t="shared" si="1"/>
        <v>7_18</v>
      </c>
      <c r="D50">
        <v>3.0555555559999998</v>
      </c>
      <c r="E50">
        <v>68670</v>
      </c>
      <c r="F50" s="5">
        <v>54890</v>
      </c>
    </row>
    <row r="51" spans="1:6" x14ac:dyDescent="0.3">
      <c r="A51" s="6">
        <v>7</v>
      </c>
      <c r="B51" s="16">
        <v>19</v>
      </c>
      <c r="C51" s="7" t="str">
        <f t="shared" si="1"/>
        <v>7_19</v>
      </c>
      <c r="D51">
        <v>1.2777777779999999</v>
      </c>
      <c r="E51">
        <v>55100</v>
      </c>
      <c r="F51" s="5">
        <v>54890</v>
      </c>
    </row>
    <row r="52" spans="1:6" x14ac:dyDescent="0.3">
      <c r="A52" s="6">
        <v>7</v>
      </c>
      <c r="B52" s="16">
        <v>20</v>
      </c>
      <c r="C52" s="7" t="str">
        <f t="shared" si="1"/>
        <v>7_20</v>
      </c>
      <c r="D52">
        <v>1.611111111</v>
      </c>
      <c r="E52">
        <v>56170</v>
      </c>
      <c r="F52" s="5">
        <v>54890</v>
      </c>
    </row>
    <row r="53" spans="1:6" x14ac:dyDescent="0.3">
      <c r="A53" s="6">
        <v>7</v>
      </c>
      <c r="B53" s="16">
        <v>21</v>
      </c>
      <c r="C53" s="7" t="str">
        <f t="shared" si="1"/>
        <v>7_21</v>
      </c>
      <c r="D53">
        <v>2.6666666669999999</v>
      </c>
      <c r="E53">
        <v>68670</v>
      </c>
      <c r="F53" s="5">
        <v>54890</v>
      </c>
    </row>
    <row r="54" spans="1:6" x14ac:dyDescent="0.3">
      <c r="A54" s="6">
        <v>7</v>
      </c>
      <c r="B54" s="16">
        <v>22</v>
      </c>
      <c r="C54" s="7" t="str">
        <f t="shared" si="1"/>
        <v>7_22</v>
      </c>
      <c r="D54">
        <v>1.2777777779999999</v>
      </c>
      <c r="E54">
        <v>59570</v>
      </c>
      <c r="F54" s="5">
        <v>54890</v>
      </c>
    </row>
    <row r="55" spans="1:6" x14ac:dyDescent="0.3">
      <c r="A55" s="6">
        <v>7</v>
      </c>
      <c r="B55" s="16">
        <v>23</v>
      </c>
      <c r="C55" s="7" t="str">
        <f t="shared" si="1"/>
        <v>7_23</v>
      </c>
      <c r="D55">
        <v>1.888888889</v>
      </c>
      <c r="E55">
        <v>77180</v>
      </c>
      <c r="F55" s="5">
        <v>54890</v>
      </c>
    </row>
    <row r="56" spans="1:6" x14ac:dyDescent="0.3">
      <c r="A56" s="6">
        <v>7</v>
      </c>
      <c r="B56" s="16">
        <v>24</v>
      </c>
      <c r="C56" s="7" t="str">
        <f t="shared" si="1"/>
        <v>7_24</v>
      </c>
      <c r="D56">
        <v>1.888888889</v>
      </c>
      <c r="E56">
        <v>58780</v>
      </c>
      <c r="F56" s="5">
        <v>54890</v>
      </c>
    </row>
    <row r="57" spans="1:6" x14ac:dyDescent="0.3">
      <c r="A57" s="6">
        <v>7</v>
      </c>
      <c r="B57" s="16">
        <v>25</v>
      </c>
      <c r="C57" s="7" t="str">
        <f t="shared" si="1"/>
        <v>7_25</v>
      </c>
      <c r="D57">
        <v>2.0555555559999998</v>
      </c>
      <c r="E57">
        <v>45870</v>
      </c>
      <c r="F57" s="5">
        <v>54890</v>
      </c>
    </row>
    <row r="58" spans="1:6" x14ac:dyDescent="0.3">
      <c r="A58" s="6">
        <v>7</v>
      </c>
      <c r="B58" s="16">
        <v>26</v>
      </c>
      <c r="C58" s="7" t="str">
        <f t="shared" si="1"/>
        <v>7_26</v>
      </c>
      <c r="D58">
        <v>2.3333333330000001</v>
      </c>
      <c r="E58">
        <v>74290</v>
      </c>
      <c r="F58" s="5">
        <v>54890</v>
      </c>
    </row>
    <row r="59" spans="1:6" x14ac:dyDescent="0.3">
      <c r="A59" s="6">
        <v>7</v>
      </c>
      <c r="B59" s="16">
        <v>27</v>
      </c>
      <c r="C59" s="7" t="str">
        <f t="shared" si="1"/>
        <v>7_27</v>
      </c>
      <c r="D59">
        <v>2.7222222220000001</v>
      </c>
      <c r="E59">
        <v>74290</v>
      </c>
      <c r="F59" s="5">
        <v>54890</v>
      </c>
    </row>
    <row r="60" spans="1:6" x14ac:dyDescent="0.3">
      <c r="A60" s="6">
        <v>7</v>
      </c>
      <c r="B60" s="16">
        <v>29</v>
      </c>
      <c r="C60" s="7" t="str">
        <f t="shared" si="1"/>
        <v>7_29</v>
      </c>
      <c r="D60">
        <v>1.2777777779999999</v>
      </c>
      <c r="E60">
        <v>52430</v>
      </c>
      <c r="F60" s="5">
        <v>54890</v>
      </c>
    </row>
    <row r="61" spans="1:6" x14ac:dyDescent="0.3">
      <c r="A61" t="s">
        <v>263</v>
      </c>
      <c r="B61" s="16">
        <v>1</v>
      </c>
      <c r="C61" s="7" t="str">
        <f t="shared" si="1"/>
        <v>NEU_1</v>
      </c>
      <c r="D61">
        <v>1.2777777779999999</v>
      </c>
      <c r="E61">
        <v>62880</v>
      </c>
      <c r="F61" s="5">
        <v>56445</v>
      </c>
    </row>
    <row r="62" spans="1:6" x14ac:dyDescent="0.3">
      <c r="A62" t="s">
        <v>263</v>
      </c>
      <c r="B62" s="16">
        <v>2</v>
      </c>
      <c r="C62" s="7" t="str">
        <f t="shared" si="1"/>
        <v>NEU_2</v>
      </c>
      <c r="D62">
        <v>2.388888889</v>
      </c>
      <c r="E62">
        <v>51610</v>
      </c>
      <c r="F62" s="5">
        <v>56445</v>
      </c>
    </row>
    <row r="63" spans="1:6" x14ac:dyDescent="0.3">
      <c r="A63" t="s">
        <v>263</v>
      </c>
      <c r="B63" s="16">
        <v>3</v>
      </c>
      <c r="C63" s="7" t="str">
        <f t="shared" si="1"/>
        <v>NEU_3</v>
      </c>
      <c r="D63">
        <v>1.2777777779999999</v>
      </c>
      <c r="E63">
        <v>50580</v>
      </c>
      <c r="F63" s="5">
        <v>56445</v>
      </c>
    </row>
    <row r="64" spans="1:6" x14ac:dyDescent="0.3">
      <c r="A64" t="s">
        <v>263</v>
      </c>
      <c r="B64" s="16">
        <v>4</v>
      </c>
      <c r="C64" s="7" t="str">
        <f t="shared" si="1"/>
        <v>NEU_4</v>
      </c>
      <c r="D64">
        <v>1.8333333329999999</v>
      </c>
      <c r="E64">
        <v>51700</v>
      </c>
      <c r="F64" s="5">
        <v>56445</v>
      </c>
    </row>
    <row r="65" spans="1:6" x14ac:dyDescent="0.3">
      <c r="A65" t="s">
        <v>263</v>
      </c>
      <c r="B65" s="16">
        <v>6</v>
      </c>
      <c r="C65" s="7" t="str">
        <f t="shared" si="1"/>
        <v>NEU_6</v>
      </c>
      <c r="D65">
        <v>2.0555555559999998</v>
      </c>
      <c r="E65">
        <v>62260</v>
      </c>
      <c r="F65" s="5">
        <v>56445</v>
      </c>
    </row>
    <row r="66" spans="1:6" x14ac:dyDescent="0.3">
      <c r="A66" t="s">
        <v>263</v>
      </c>
      <c r="B66" s="16">
        <v>7</v>
      </c>
      <c r="C66" s="7" t="str">
        <f t="shared" si="1"/>
        <v>NEU_7</v>
      </c>
      <c r="D66">
        <v>2.3333333330000001</v>
      </c>
      <c r="E66">
        <v>51700</v>
      </c>
      <c r="F66" s="5">
        <v>56445</v>
      </c>
    </row>
    <row r="67" spans="1:6" x14ac:dyDescent="0.3">
      <c r="A67" t="s">
        <v>263</v>
      </c>
      <c r="B67" s="16">
        <v>8</v>
      </c>
      <c r="C67" s="7" t="str">
        <f t="shared" si="1"/>
        <v>NEU_8</v>
      </c>
      <c r="D67">
        <v>2.7222222220000001</v>
      </c>
      <c r="E67">
        <v>49180</v>
      </c>
      <c r="F67" s="5">
        <v>56445</v>
      </c>
    </row>
    <row r="68" spans="1:6" x14ac:dyDescent="0.3">
      <c r="A68" t="s">
        <v>263</v>
      </c>
      <c r="B68" s="16">
        <v>9</v>
      </c>
      <c r="C68" s="7" t="str">
        <f t="shared" si="1"/>
        <v>NEU_9</v>
      </c>
      <c r="D68">
        <v>2.0555555559999998</v>
      </c>
      <c r="E68">
        <v>58030</v>
      </c>
      <c r="F68" s="5">
        <v>56445</v>
      </c>
    </row>
    <row r="69" spans="1:6" x14ac:dyDescent="0.3">
      <c r="A69" t="s">
        <v>263</v>
      </c>
      <c r="B69" s="16">
        <v>10</v>
      </c>
      <c r="C69" s="7" t="str">
        <f t="shared" si="1"/>
        <v>NEU_10</v>
      </c>
      <c r="D69">
        <v>1.4444444439999999</v>
      </c>
      <c r="E69">
        <v>51700</v>
      </c>
      <c r="F69" s="5">
        <v>56445</v>
      </c>
    </row>
    <row r="70" spans="1:6" x14ac:dyDescent="0.3">
      <c r="A70" t="s">
        <v>263</v>
      </c>
      <c r="B70" s="16">
        <v>12</v>
      </c>
      <c r="C70" s="7" t="str">
        <f t="shared" si="1"/>
        <v>NEU_12</v>
      </c>
      <c r="D70">
        <v>0.61111111100000004</v>
      </c>
      <c r="E70">
        <v>50580</v>
      </c>
      <c r="F70" s="5">
        <v>56445</v>
      </c>
    </row>
    <row r="71" spans="1:6" x14ac:dyDescent="0.3">
      <c r="A71" t="s">
        <v>263</v>
      </c>
      <c r="B71" s="16">
        <v>13</v>
      </c>
      <c r="C71" s="7" t="str">
        <f t="shared" si="1"/>
        <v>NEU_13</v>
      </c>
      <c r="D71">
        <v>1.5</v>
      </c>
      <c r="E71">
        <v>62260</v>
      </c>
      <c r="F71" s="5">
        <v>56445</v>
      </c>
    </row>
    <row r="72" spans="1:6" x14ac:dyDescent="0.3">
      <c r="A72" t="s">
        <v>263</v>
      </c>
      <c r="B72" s="16">
        <v>14</v>
      </c>
      <c r="C72" s="7" t="str">
        <f t="shared" si="1"/>
        <v>NEU_14</v>
      </c>
      <c r="D72">
        <v>0.33333333300000001</v>
      </c>
      <c r="E72">
        <v>60890</v>
      </c>
      <c r="F72" s="5">
        <v>56445</v>
      </c>
    </row>
    <row r="73" spans="1:6" x14ac:dyDescent="0.3">
      <c r="A73" t="s">
        <v>263</v>
      </c>
      <c r="B73" s="16">
        <v>15</v>
      </c>
      <c r="C73" s="7" t="str">
        <f t="shared" si="1"/>
        <v>NEU_15</v>
      </c>
      <c r="D73">
        <v>1.7222222220000001</v>
      </c>
      <c r="E73">
        <v>47920</v>
      </c>
      <c r="F73" s="5">
        <v>56445</v>
      </c>
    </row>
    <row r="74" spans="1:6" x14ac:dyDescent="0.3">
      <c r="A74" t="s">
        <v>263</v>
      </c>
      <c r="B74" s="16">
        <v>16</v>
      </c>
      <c r="C74" s="7" t="str">
        <f t="shared" si="1"/>
        <v>NEU_16</v>
      </c>
      <c r="D74">
        <v>2.3333333330000001</v>
      </c>
      <c r="E74">
        <v>74740</v>
      </c>
      <c r="F74" s="5">
        <v>56445</v>
      </c>
    </row>
    <row r="75" spans="1:6" x14ac:dyDescent="0.3">
      <c r="A75" t="s">
        <v>263</v>
      </c>
      <c r="B75" s="16">
        <v>17</v>
      </c>
      <c r="C75" s="7" t="str">
        <f t="shared" si="1"/>
        <v>NEU_17</v>
      </c>
      <c r="D75">
        <v>2.3333333330000001</v>
      </c>
      <c r="E75">
        <v>74740</v>
      </c>
      <c r="F75" s="5">
        <v>56445</v>
      </c>
    </row>
    <row r="76" spans="1:6" x14ac:dyDescent="0.3">
      <c r="A76" t="s">
        <v>263</v>
      </c>
      <c r="B76" s="16">
        <v>18</v>
      </c>
      <c r="C76" s="7" t="str">
        <f t="shared" si="1"/>
        <v>NEU_18</v>
      </c>
      <c r="D76">
        <v>0.88888888899999996</v>
      </c>
      <c r="E76">
        <v>61910</v>
      </c>
      <c r="F76" s="5">
        <v>56445</v>
      </c>
    </row>
    <row r="77" spans="1:6" x14ac:dyDescent="0.3">
      <c r="A77" t="s">
        <v>263</v>
      </c>
      <c r="B77" s="16">
        <v>19</v>
      </c>
      <c r="C77" s="7" t="str">
        <f t="shared" si="1"/>
        <v>NEU_19</v>
      </c>
      <c r="D77">
        <v>1.2777777779999999</v>
      </c>
      <c r="E77">
        <v>49180</v>
      </c>
      <c r="F77" s="5">
        <v>56445</v>
      </c>
    </row>
    <row r="78" spans="1:6" x14ac:dyDescent="0.3">
      <c r="A78" t="s">
        <v>263</v>
      </c>
      <c r="B78" s="16">
        <v>21</v>
      </c>
      <c r="C78" s="7" t="str">
        <f t="shared" si="1"/>
        <v>NEU_21</v>
      </c>
      <c r="D78">
        <v>1.4444444439999999</v>
      </c>
      <c r="E78">
        <v>58030</v>
      </c>
      <c r="F78" s="5">
        <v>56445</v>
      </c>
    </row>
    <row r="79" spans="1:6" x14ac:dyDescent="0.3">
      <c r="A79" t="s">
        <v>263</v>
      </c>
      <c r="B79" s="16">
        <v>22</v>
      </c>
      <c r="C79" s="7" t="str">
        <f t="shared" si="1"/>
        <v>NEU_22</v>
      </c>
      <c r="D79">
        <v>1.7222222220000001</v>
      </c>
      <c r="E79">
        <v>62880</v>
      </c>
      <c r="F79" s="5">
        <v>56445</v>
      </c>
    </row>
    <row r="80" spans="1:6" x14ac:dyDescent="0.3">
      <c r="A80" t="s">
        <v>263</v>
      </c>
      <c r="B80" s="16">
        <v>23</v>
      </c>
      <c r="C80" s="7" t="str">
        <f t="shared" si="1"/>
        <v>NEU_23</v>
      </c>
      <c r="D80">
        <v>1.7222222220000001</v>
      </c>
      <c r="E80">
        <v>51700</v>
      </c>
      <c r="F80" s="5">
        <v>56445</v>
      </c>
    </row>
    <row r="81" spans="1:6" x14ac:dyDescent="0.3">
      <c r="A81" t="s">
        <v>299</v>
      </c>
      <c r="B81" s="16">
        <v>1</v>
      </c>
      <c r="C81" s="7" t="str">
        <f t="shared" si="1"/>
        <v>IVR_1</v>
      </c>
      <c r="D81">
        <v>3</v>
      </c>
      <c r="E81">
        <v>19260</v>
      </c>
      <c r="F81" s="5">
        <v>18758</v>
      </c>
    </row>
    <row r="82" spans="1:6" x14ac:dyDescent="0.3">
      <c r="A82" t="s">
        <v>299</v>
      </c>
      <c r="B82" s="16">
        <v>2</v>
      </c>
      <c r="C82" s="7" t="str">
        <f t="shared" si="1"/>
        <v>IVR_2</v>
      </c>
      <c r="D82">
        <v>1.4444444439999999</v>
      </c>
      <c r="E82">
        <v>21730</v>
      </c>
      <c r="F82" s="5">
        <v>18758</v>
      </c>
    </row>
    <row r="83" spans="1:6" x14ac:dyDescent="0.3">
      <c r="A83" t="s">
        <v>299</v>
      </c>
      <c r="B83" s="16">
        <v>3</v>
      </c>
      <c r="C83" s="7" t="str">
        <f t="shared" si="1"/>
        <v>IVR_3</v>
      </c>
      <c r="D83">
        <v>1.4444444439999999</v>
      </c>
      <c r="E83">
        <v>18940</v>
      </c>
      <c r="F83" s="5">
        <v>18758</v>
      </c>
    </row>
    <row r="84" spans="1:6" x14ac:dyDescent="0.3">
      <c r="A84" t="s">
        <v>299</v>
      </c>
      <c r="B84" s="16">
        <v>4</v>
      </c>
      <c r="C84" s="7" t="str">
        <f t="shared" si="1"/>
        <v>IVR_4</v>
      </c>
      <c r="D84">
        <v>4.0555555559999998</v>
      </c>
      <c r="E84">
        <v>19210</v>
      </c>
      <c r="F84" s="5">
        <v>18758</v>
      </c>
    </row>
    <row r="85" spans="1:6" x14ac:dyDescent="0.3">
      <c r="A85" t="s">
        <v>299</v>
      </c>
      <c r="B85" s="16">
        <v>5</v>
      </c>
      <c r="C85" s="7" t="str">
        <f t="shared" si="1"/>
        <v>IVR_5</v>
      </c>
      <c r="D85">
        <v>3.388888889</v>
      </c>
      <c r="E85">
        <v>18800</v>
      </c>
      <c r="F85" s="5">
        <v>18758</v>
      </c>
    </row>
    <row r="86" spans="1:6" x14ac:dyDescent="0.3">
      <c r="A86" t="s">
        <v>299</v>
      </c>
      <c r="B86" s="16">
        <v>6</v>
      </c>
      <c r="C86" s="7" t="str">
        <f t="shared" si="1"/>
        <v>IVR_6</v>
      </c>
      <c r="D86">
        <v>2.1666666669999999</v>
      </c>
      <c r="E86">
        <v>13390</v>
      </c>
      <c r="F86" s="5">
        <v>18758</v>
      </c>
    </row>
    <row r="87" spans="1:6" x14ac:dyDescent="0.3">
      <c r="A87" t="s">
        <v>299</v>
      </c>
      <c r="B87" s="16">
        <v>7</v>
      </c>
      <c r="C87" s="7" t="str">
        <f t="shared" si="1"/>
        <v>IVR_7</v>
      </c>
      <c r="D87">
        <v>2.5</v>
      </c>
      <c r="E87">
        <v>13390</v>
      </c>
      <c r="F87" s="5">
        <v>18758</v>
      </c>
    </row>
    <row r="88" spans="1:6" x14ac:dyDescent="0.3">
      <c r="A88" t="s">
        <v>299</v>
      </c>
      <c r="B88" s="16">
        <v>9</v>
      </c>
      <c r="C88" s="7" t="str">
        <f t="shared" si="1"/>
        <v>IVR_9</v>
      </c>
      <c r="D88">
        <v>3.6666666669999999</v>
      </c>
      <c r="E88">
        <v>18460</v>
      </c>
      <c r="F88" s="5">
        <v>18758</v>
      </c>
    </row>
    <row r="89" spans="1:6" x14ac:dyDescent="0.3">
      <c r="A89" t="s">
        <v>299</v>
      </c>
      <c r="B89" s="16">
        <v>10</v>
      </c>
      <c r="C89" s="7" t="str">
        <f t="shared" si="1"/>
        <v>IVR_10</v>
      </c>
      <c r="D89">
        <v>2.0555555559999998</v>
      </c>
      <c r="E89">
        <v>18260</v>
      </c>
      <c r="F89" s="5">
        <v>18758</v>
      </c>
    </row>
    <row r="90" spans="1:6" x14ac:dyDescent="0.3">
      <c r="A90" t="s">
        <v>299</v>
      </c>
      <c r="B90" s="16">
        <v>11</v>
      </c>
      <c r="C90" s="7" t="str">
        <f t="shared" si="1"/>
        <v>IVR_11</v>
      </c>
      <c r="D90">
        <v>1.611111111</v>
      </c>
      <c r="E90">
        <v>19580</v>
      </c>
      <c r="F90" s="5">
        <v>18758</v>
      </c>
    </row>
    <row r="91" spans="1:6" x14ac:dyDescent="0.3">
      <c r="A91" t="s">
        <v>299</v>
      </c>
      <c r="B91" s="16">
        <v>12</v>
      </c>
      <c r="C91" s="7" t="str">
        <f t="shared" ref="C91:C99" si="2">A91&amp;"_"&amp;B91</f>
        <v>IVR_12</v>
      </c>
      <c r="D91">
        <v>3.0555555559999998</v>
      </c>
      <c r="E91">
        <v>17950</v>
      </c>
      <c r="F91" s="5">
        <v>27174</v>
      </c>
    </row>
    <row r="92" spans="1:6" x14ac:dyDescent="0.3">
      <c r="A92" t="s">
        <v>299</v>
      </c>
      <c r="B92" s="16">
        <v>14</v>
      </c>
      <c r="C92" s="7" t="str">
        <f t="shared" si="2"/>
        <v>IVR_14</v>
      </c>
      <c r="D92">
        <v>3.3333333330000001</v>
      </c>
      <c r="E92">
        <v>13390</v>
      </c>
      <c r="F92" s="5">
        <v>18758</v>
      </c>
    </row>
    <row r="93" spans="1:6" x14ac:dyDescent="0.3">
      <c r="A93" t="s">
        <v>299</v>
      </c>
      <c r="B93" s="16">
        <v>15</v>
      </c>
      <c r="C93" s="7" t="str">
        <f t="shared" si="2"/>
        <v>IVR_15</v>
      </c>
      <c r="D93">
        <v>2.4444444440000002</v>
      </c>
      <c r="E93">
        <v>24560</v>
      </c>
      <c r="F93" s="5">
        <v>18758</v>
      </c>
    </row>
    <row r="94" spans="1:6" x14ac:dyDescent="0.3">
      <c r="A94" t="s">
        <v>299</v>
      </c>
      <c r="B94" s="16">
        <v>16</v>
      </c>
      <c r="C94" s="7" t="str">
        <f t="shared" si="2"/>
        <v>IVR_16</v>
      </c>
      <c r="D94">
        <v>2.2222222220000001</v>
      </c>
      <c r="E94">
        <v>17190</v>
      </c>
      <c r="F94" s="5">
        <v>18758</v>
      </c>
    </row>
    <row r="95" spans="1:6" x14ac:dyDescent="0.3">
      <c r="A95" t="s">
        <v>299</v>
      </c>
      <c r="B95" s="16">
        <v>17</v>
      </c>
      <c r="C95" s="7" t="str">
        <f t="shared" si="2"/>
        <v>IVR_17</v>
      </c>
      <c r="D95">
        <v>3.6666666669999999</v>
      </c>
      <c r="E95">
        <v>13390</v>
      </c>
      <c r="F95" s="5">
        <v>18758</v>
      </c>
    </row>
    <row r="96" spans="1:6" x14ac:dyDescent="0.3">
      <c r="A96" t="s">
        <v>299</v>
      </c>
      <c r="B96" s="16">
        <v>18</v>
      </c>
      <c r="C96" s="7" t="str">
        <f t="shared" si="2"/>
        <v>IVR_18</v>
      </c>
      <c r="D96">
        <v>3</v>
      </c>
      <c r="E96">
        <v>17550</v>
      </c>
      <c r="F96" s="5">
        <v>18758</v>
      </c>
    </row>
    <row r="97" spans="1:6" x14ac:dyDescent="0.3">
      <c r="A97" t="s">
        <v>299</v>
      </c>
      <c r="B97" s="16">
        <v>19</v>
      </c>
      <c r="C97" s="7" t="str">
        <f t="shared" si="2"/>
        <v>IVR_19</v>
      </c>
      <c r="D97">
        <v>1.2777777779999999</v>
      </c>
      <c r="E97">
        <v>19030</v>
      </c>
      <c r="F97" s="5">
        <v>18758</v>
      </c>
    </row>
    <row r="98" spans="1:6" x14ac:dyDescent="0.3">
      <c r="A98" t="s">
        <v>299</v>
      </c>
      <c r="B98" s="16">
        <v>20</v>
      </c>
      <c r="C98" s="7" t="str">
        <f t="shared" si="2"/>
        <v>IVR_20</v>
      </c>
      <c r="D98">
        <v>1.4444444439999999</v>
      </c>
      <c r="E98">
        <v>18940</v>
      </c>
      <c r="F98" s="5">
        <v>18758</v>
      </c>
    </row>
    <row r="99" spans="1:6" x14ac:dyDescent="0.3">
      <c r="A99" t="s">
        <v>299</v>
      </c>
      <c r="B99" s="16">
        <v>21</v>
      </c>
      <c r="C99" s="7" t="str">
        <f t="shared" si="2"/>
        <v>IVR_21</v>
      </c>
      <c r="D99">
        <v>1.2777777779999999</v>
      </c>
      <c r="E99">
        <v>19260</v>
      </c>
      <c r="F99" s="5">
        <v>18758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V1_originale</vt:lpstr>
      <vt:lpstr>V1_iris_réattribués</vt:lpstr>
      <vt:lpstr>V1_stats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</dc:creator>
  <cp:lastModifiedBy>MOLINARO Katia</cp:lastModifiedBy>
  <dcterms:created xsi:type="dcterms:W3CDTF">2015-06-05T18:17:20Z</dcterms:created>
  <dcterms:modified xsi:type="dcterms:W3CDTF">2026-03-18T16:10:57Z</dcterms:modified>
</cp:coreProperties>
</file>