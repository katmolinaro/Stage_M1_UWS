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tia\Desktop\STAGE\M1\Travail\Stage_M1_UWS\Raw\"/>
    </mc:Choice>
  </mc:AlternateContent>
  <xr:revisionPtr revIDLastSave="0" documentId="13_ncr:1_{E0E64F6F-1BDE-406B-9C4B-DF4271FA2716}" xr6:coauthVersionLast="47" xr6:coauthVersionMax="47" xr10:uidLastSave="{00000000-0000-0000-0000-000000000000}"/>
  <bookViews>
    <workbookView xWindow="-108" yWindow="-108" windowWidth="23256" windowHeight="12576" firstSheet="4" activeTab="5" xr2:uid="{A2E2B354-4CFC-4A8A-96B7-F1F306D34BE6}"/>
  </bookViews>
  <sheets>
    <sheet name="UWS" sheetId="2" r:id="rId1"/>
    <sheet name="Ivry" sheetId="7" r:id="rId2"/>
    <sheet name="19e" sheetId="4" r:id="rId3"/>
    <sheet name="Neuilly" sheetId="6" r:id="rId4"/>
    <sheet name="7e" sheetId="5" r:id="rId5"/>
    <sheet name="5e" sheetId="8" r:id="rId6"/>
    <sheet name="TEST" sheetId="3" r:id="rId7"/>
    <sheet name="Vegetalisation" sheetId="1" r:id="rId8"/>
    <sheet name="Cross-scoring"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4" l="1"/>
  <c r="AD3" i="4"/>
  <c r="AB3" i="4"/>
  <c r="AC3" i="4"/>
  <c r="AB22" i="9"/>
  <c r="AF22" i="9" s="1"/>
  <c r="AA22" i="9"/>
  <c r="AE22" i="9" s="1"/>
  <c r="Z22" i="9"/>
  <c r="AB21" i="9"/>
  <c r="AF21" i="9" s="1"/>
  <c r="AA21" i="9"/>
  <c r="AE21" i="9" s="1"/>
  <c r="Z21" i="9"/>
  <c r="AB20" i="9"/>
  <c r="AF20" i="9" s="1"/>
  <c r="AA20" i="9"/>
  <c r="AE20" i="9" s="1"/>
  <c r="Z20" i="9"/>
  <c r="AB19" i="9"/>
  <c r="AF19" i="9" s="1"/>
  <c r="AA19" i="9"/>
  <c r="AE19" i="9" s="1"/>
  <c r="Z19" i="9"/>
  <c r="AB18" i="9"/>
  <c r="AF18" i="9" s="1"/>
  <c r="AA18" i="9"/>
  <c r="AE18" i="9" s="1"/>
  <c r="Z18" i="9"/>
  <c r="AB17" i="9"/>
  <c r="AF17" i="9" s="1"/>
  <c r="AA17" i="9"/>
  <c r="AE17" i="9" s="1"/>
  <c r="Z17" i="9"/>
  <c r="AB16" i="9"/>
  <c r="AF16" i="9" s="1"/>
  <c r="AA16" i="9"/>
  <c r="AE16" i="9" s="1"/>
  <c r="Z16" i="9"/>
  <c r="AB15" i="9"/>
  <c r="AF15" i="9" s="1"/>
  <c r="AA15" i="9"/>
  <c r="AE15" i="9" s="1"/>
  <c r="Z15" i="9"/>
  <c r="AB14" i="9"/>
  <c r="AF14" i="9" s="1"/>
  <c r="AA14" i="9"/>
  <c r="AE14" i="9" s="1"/>
  <c r="Z14" i="9"/>
  <c r="AB13" i="9"/>
  <c r="AF13" i="9" s="1"/>
  <c r="AA13" i="9"/>
  <c r="AE13" i="9" s="1"/>
  <c r="Z13" i="9"/>
  <c r="AB12" i="9"/>
  <c r="AF12" i="9" s="1"/>
  <c r="AA12" i="9"/>
  <c r="AE12" i="9" s="1"/>
  <c r="Z12" i="9"/>
  <c r="AB11" i="9"/>
  <c r="AF11" i="9" s="1"/>
  <c r="AA11" i="9"/>
  <c r="AE11" i="9" s="1"/>
  <c r="Z11" i="9"/>
  <c r="AB10" i="9"/>
  <c r="AF10" i="9" s="1"/>
  <c r="AA10" i="9"/>
  <c r="AE10" i="9" s="1"/>
  <c r="Z10" i="9"/>
  <c r="AB9" i="9"/>
  <c r="AF9" i="9" s="1"/>
  <c r="AA9" i="9"/>
  <c r="AE9" i="9" s="1"/>
  <c r="Z9" i="9"/>
  <c r="AB8" i="9"/>
  <c r="AF8" i="9" s="1"/>
  <c r="AA8" i="9"/>
  <c r="AE8" i="9" s="1"/>
  <c r="Z8" i="9"/>
  <c r="AB7" i="9"/>
  <c r="AF7" i="9" s="1"/>
  <c r="AA7" i="9"/>
  <c r="AE7" i="9" s="1"/>
  <c r="Z7" i="9"/>
  <c r="AB6" i="9"/>
  <c r="AF6" i="9" s="1"/>
  <c r="AA6" i="9"/>
  <c r="AE6" i="9" s="1"/>
  <c r="Z6" i="9"/>
  <c r="AB5" i="9"/>
  <c r="AF5" i="9" s="1"/>
  <c r="AA5" i="9"/>
  <c r="AE5" i="9" s="1"/>
  <c r="Z5" i="9"/>
  <c r="AB4" i="9"/>
  <c r="AF4" i="9" s="1"/>
  <c r="AA4" i="9"/>
  <c r="AE4" i="9" s="1"/>
  <c r="Z4" i="9"/>
  <c r="AB3" i="9"/>
  <c r="AF3" i="9" s="1"/>
  <c r="AA3" i="9"/>
  <c r="AE3" i="9" s="1"/>
  <c r="Z3" i="9"/>
  <c r="AD8" i="8"/>
  <c r="AE8" i="8"/>
  <c r="AB22" i="8"/>
  <c r="AF22" i="8" s="1"/>
  <c r="AA22" i="8"/>
  <c r="AE22" i="8" s="1"/>
  <c r="Z22" i="8"/>
  <c r="AB21" i="8"/>
  <c r="AF21" i="8" s="1"/>
  <c r="AA21" i="8"/>
  <c r="AE21" i="8" s="1"/>
  <c r="Z21" i="8"/>
  <c r="AB20" i="8"/>
  <c r="AF20" i="8" s="1"/>
  <c r="AA20" i="8"/>
  <c r="AE20" i="8" s="1"/>
  <c r="Z20" i="8"/>
  <c r="AB19" i="8"/>
  <c r="AF19" i="8" s="1"/>
  <c r="AA19" i="8"/>
  <c r="AE19" i="8" s="1"/>
  <c r="Z19" i="8"/>
  <c r="AB18" i="8"/>
  <c r="AF18" i="8" s="1"/>
  <c r="AA18" i="8"/>
  <c r="AE18" i="8" s="1"/>
  <c r="Z18" i="8"/>
  <c r="AB17" i="8"/>
  <c r="AF17" i="8" s="1"/>
  <c r="AA17" i="8"/>
  <c r="AE17" i="8" s="1"/>
  <c r="Z17" i="8"/>
  <c r="AB16" i="8"/>
  <c r="AF16" i="8" s="1"/>
  <c r="AA16" i="8"/>
  <c r="AE16" i="8" s="1"/>
  <c r="Z16" i="8"/>
  <c r="AB15" i="8"/>
  <c r="AF15" i="8" s="1"/>
  <c r="AA15" i="8"/>
  <c r="AE15" i="8" s="1"/>
  <c r="Z15" i="8"/>
  <c r="AB14" i="8"/>
  <c r="AF14" i="8" s="1"/>
  <c r="AA14" i="8"/>
  <c r="AE14" i="8" s="1"/>
  <c r="Z14" i="8"/>
  <c r="AB13" i="8"/>
  <c r="AF13" i="8" s="1"/>
  <c r="AA13" i="8"/>
  <c r="AE13" i="8" s="1"/>
  <c r="Z13" i="8"/>
  <c r="AB12" i="8"/>
  <c r="AF12" i="8" s="1"/>
  <c r="AA12" i="8"/>
  <c r="AE12" i="8" s="1"/>
  <c r="Z12" i="8"/>
  <c r="AB11" i="8"/>
  <c r="AF11" i="8" s="1"/>
  <c r="AA11" i="8"/>
  <c r="AE11" i="8" s="1"/>
  <c r="Z11" i="8"/>
  <c r="AB10" i="8"/>
  <c r="AF10" i="8" s="1"/>
  <c r="AA10" i="8"/>
  <c r="AE10" i="8" s="1"/>
  <c r="Z10" i="8"/>
  <c r="AB9" i="8"/>
  <c r="AF9" i="8" s="1"/>
  <c r="AA9" i="8"/>
  <c r="AE9" i="8" s="1"/>
  <c r="Z9" i="8"/>
  <c r="AB8" i="8"/>
  <c r="AF8" i="8" s="1"/>
  <c r="AA8" i="8"/>
  <c r="Z8" i="8"/>
  <c r="AB7" i="8"/>
  <c r="AF7" i="8" s="1"/>
  <c r="AA7" i="8"/>
  <c r="AE7" i="8" s="1"/>
  <c r="Z7" i="8"/>
  <c r="AB6" i="8"/>
  <c r="AF6" i="8" s="1"/>
  <c r="AA6" i="8"/>
  <c r="AE6" i="8" s="1"/>
  <c r="Z6" i="8"/>
  <c r="AB5" i="8"/>
  <c r="AF5" i="8" s="1"/>
  <c r="AA5" i="8"/>
  <c r="AE5" i="8" s="1"/>
  <c r="Z5" i="8"/>
  <c r="AB4" i="8"/>
  <c r="AF4" i="8" s="1"/>
  <c r="AA4" i="8"/>
  <c r="AE4" i="8" s="1"/>
  <c r="Z4" i="8"/>
  <c r="AB3" i="8"/>
  <c r="AF3" i="8" s="1"/>
  <c r="AA3" i="8"/>
  <c r="AE3" i="8" s="1"/>
  <c r="Z3" i="8"/>
  <c r="H13" i="1"/>
  <c r="H14" i="1"/>
  <c r="H15" i="1"/>
  <c r="H12" i="1"/>
  <c r="H5" i="1"/>
  <c r="H6" i="1"/>
  <c r="H7" i="1"/>
  <c r="H4" i="1"/>
  <c r="F13" i="1"/>
  <c r="F14" i="1"/>
  <c r="F15" i="1"/>
  <c r="F12" i="1"/>
  <c r="E13" i="1"/>
  <c r="E14" i="1"/>
  <c r="E15" i="1"/>
  <c r="E12" i="1"/>
  <c r="G13" i="1"/>
  <c r="G14" i="1"/>
  <c r="G15" i="1"/>
  <c r="G12" i="1"/>
  <c r="G5" i="1"/>
  <c r="G6" i="1"/>
  <c r="G7" i="1"/>
  <c r="G4" i="1"/>
  <c r="D12" i="1"/>
  <c r="D15" i="1"/>
  <c r="D14" i="1"/>
  <c r="D13" i="1"/>
  <c r="D5" i="1"/>
  <c r="D6" i="1"/>
  <c r="D7" i="1"/>
  <c r="D4" i="1"/>
  <c r="AB32" i="7"/>
  <c r="AF32" i="7" s="1"/>
  <c r="AA32" i="7"/>
  <c r="Z32" i="7"/>
  <c r="AD32" i="7" s="1"/>
  <c r="AB31" i="7"/>
  <c r="AF31" i="7" s="1"/>
  <c r="AA31" i="7"/>
  <c r="Z31" i="7"/>
  <c r="AD31" i="7" s="1"/>
  <c r="AB30" i="7"/>
  <c r="AF30" i="7" s="1"/>
  <c r="AA30" i="7"/>
  <c r="Z30" i="7"/>
  <c r="AD30" i="7" s="1"/>
  <c r="AB29" i="7"/>
  <c r="AF29" i="7" s="1"/>
  <c r="AA29" i="7"/>
  <c r="Z29" i="7"/>
  <c r="AD29" i="7" s="1"/>
  <c r="AB28" i="7"/>
  <c r="AF28" i="7" s="1"/>
  <c r="AA28" i="7"/>
  <c r="Z28" i="7"/>
  <c r="AD28" i="7" s="1"/>
  <c r="AB27" i="7"/>
  <c r="AF27" i="7" s="1"/>
  <c r="AA27" i="7"/>
  <c r="Z27" i="7"/>
  <c r="AD27" i="7" s="1"/>
  <c r="AB26" i="7"/>
  <c r="AF26" i="7" s="1"/>
  <c r="AA26" i="7"/>
  <c r="Z26" i="7"/>
  <c r="AD26" i="7" s="1"/>
  <c r="AB25" i="7"/>
  <c r="AF25" i="7" s="1"/>
  <c r="AA25" i="7"/>
  <c r="Z25" i="7"/>
  <c r="AD25" i="7" s="1"/>
  <c r="AB24" i="7"/>
  <c r="AF24" i="7" s="1"/>
  <c r="AA24" i="7"/>
  <c r="Z24" i="7"/>
  <c r="AD24" i="7" s="1"/>
  <c r="AB23" i="7"/>
  <c r="AF23" i="7" s="1"/>
  <c r="AA23" i="7"/>
  <c r="Z23" i="7"/>
  <c r="AD23" i="7" s="1"/>
  <c r="AB22" i="7"/>
  <c r="AF22" i="7" s="1"/>
  <c r="AA22" i="7"/>
  <c r="Z22" i="7"/>
  <c r="AD22" i="7" s="1"/>
  <c r="AB21" i="7"/>
  <c r="AF21" i="7" s="1"/>
  <c r="AA21" i="7"/>
  <c r="Z21" i="7"/>
  <c r="AD21" i="7" s="1"/>
  <c r="AB20" i="7"/>
  <c r="AF20" i="7" s="1"/>
  <c r="AA20" i="7"/>
  <c r="Z20" i="7"/>
  <c r="AD20" i="7" s="1"/>
  <c r="AB19" i="7"/>
  <c r="AF19" i="7" s="1"/>
  <c r="AA19" i="7"/>
  <c r="Z19" i="7"/>
  <c r="AD19" i="7" s="1"/>
  <c r="AB18" i="7"/>
  <c r="AF18" i="7" s="1"/>
  <c r="AA18" i="7"/>
  <c r="Z18" i="7"/>
  <c r="AD18" i="7" s="1"/>
  <c r="AB17" i="7"/>
  <c r="AF17" i="7" s="1"/>
  <c r="AA17" i="7"/>
  <c r="Z17" i="7"/>
  <c r="AD17" i="7" s="1"/>
  <c r="AB16" i="7"/>
  <c r="AF16" i="7" s="1"/>
  <c r="AA16" i="7"/>
  <c r="Z16" i="7"/>
  <c r="AD16" i="7" s="1"/>
  <c r="AB15" i="7"/>
  <c r="AF15" i="7" s="1"/>
  <c r="AA15" i="7"/>
  <c r="AE15" i="7" s="1"/>
  <c r="Z15" i="7"/>
  <c r="AD15" i="7" s="1"/>
  <c r="AB14" i="7"/>
  <c r="AF14" i="7" s="1"/>
  <c r="AA14" i="7"/>
  <c r="AE14" i="7" s="1"/>
  <c r="Z14" i="7"/>
  <c r="AD14" i="7" s="1"/>
  <c r="AB13" i="7"/>
  <c r="AF13" i="7" s="1"/>
  <c r="AA13" i="7"/>
  <c r="AE13" i="7" s="1"/>
  <c r="Z13" i="7"/>
  <c r="AD13" i="7" s="1"/>
  <c r="AB12" i="7"/>
  <c r="AF12" i="7" s="1"/>
  <c r="AA12" i="7"/>
  <c r="AE12" i="7" s="1"/>
  <c r="Z12" i="7"/>
  <c r="AD12" i="7" s="1"/>
  <c r="AB11" i="7"/>
  <c r="AF11" i="7" s="1"/>
  <c r="AA11" i="7"/>
  <c r="AE11" i="7" s="1"/>
  <c r="Z11" i="7"/>
  <c r="AB10" i="7"/>
  <c r="AF10" i="7" s="1"/>
  <c r="AA10" i="7"/>
  <c r="AE10" i="7" s="1"/>
  <c r="Z10" i="7"/>
  <c r="AD10" i="7" s="1"/>
  <c r="AB9" i="7"/>
  <c r="AF9" i="7" s="1"/>
  <c r="AA9" i="7"/>
  <c r="AE9" i="7" s="1"/>
  <c r="Z9" i="7"/>
  <c r="AD9" i="7" s="1"/>
  <c r="AB8" i="7"/>
  <c r="AF8" i="7" s="1"/>
  <c r="AA8" i="7"/>
  <c r="AE8" i="7" s="1"/>
  <c r="Z8" i="7"/>
  <c r="AD8" i="7" s="1"/>
  <c r="AB7" i="7"/>
  <c r="AF7" i="7" s="1"/>
  <c r="AA7" i="7"/>
  <c r="AE7" i="7" s="1"/>
  <c r="Z7" i="7"/>
  <c r="AD7" i="7" s="1"/>
  <c r="AB6" i="7"/>
  <c r="AF6" i="7" s="1"/>
  <c r="AA6" i="7"/>
  <c r="AE6" i="7" s="1"/>
  <c r="Z6" i="7"/>
  <c r="AD6" i="7" s="1"/>
  <c r="AB5" i="7"/>
  <c r="AF5" i="7" s="1"/>
  <c r="AA5" i="7"/>
  <c r="AE5" i="7" s="1"/>
  <c r="Z5" i="7"/>
  <c r="AD5" i="7" s="1"/>
  <c r="AB4" i="7"/>
  <c r="AF4" i="7" s="1"/>
  <c r="AA4" i="7"/>
  <c r="AE4" i="7" s="1"/>
  <c r="Z4" i="7"/>
  <c r="AD4" i="7" s="1"/>
  <c r="AB26" i="6"/>
  <c r="AF26" i="6" s="1"/>
  <c r="AA26" i="6"/>
  <c r="AE26" i="6" s="1"/>
  <c r="Z26" i="6"/>
  <c r="AC26" i="6" s="1"/>
  <c r="AB27" i="6"/>
  <c r="AF27" i="6" s="1"/>
  <c r="AA27" i="6"/>
  <c r="AE27" i="6" s="1"/>
  <c r="Z27" i="6"/>
  <c r="AB25" i="6"/>
  <c r="AF25" i="6" s="1"/>
  <c r="AA25" i="6"/>
  <c r="AE25" i="6" s="1"/>
  <c r="Z25" i="6"/>
  <c r="AB24" i="6"/>
  <c r="AF24" i="6" s="1"/>
  <c r="AA24" i="6"/>
  <c r="AE24" i="6" s="1"/>
  <c r="Z24" i="6"/>
  <c r="AB23" i="6"/>
  <c r="AF23" i="6" s="1"/>
  <c r="AA23" i="6"/>
  <c r="AE23" i="6" s="1"/>
  <c r="Z23" i="6"/>
  <c r="AB22" i="6"/>
  <c r="AF22" i="6" s="1"/>
  <c r="AA22" i="6"/>
  <c r="AE22" i="6" s="1"/>
  <c r="Z22" i="6"/>
  <c r="AB21" i="6"/>
  <c r="AF21" i="6" s="1"/>
  <c r="AA21" i="6"/>
  <c r="AE21" i="6" s="1"/>
  <c r="Z21" i="6"/>
  <c r="AB20" i="6"/>
  <c r="AF20" i="6" s="1"/>
  <c r="AA20" i="6"/>
  <c r="AE20" i="6" s="1"/>
  <c r="Z20" i="6"/>
  <c r="AB19" i="6"/>
  <c r="AF19" i="6" s="1"/>
  <c r="AA19" i="6"/>
  <c r="AE19" i="6" s="1"/>
  <c r="Z19" i="6"/>
  <c r="AB18" i="6"/>
  <c r="AF18" i="6" s="1"/>
  <c r="AA18" i="6"/>
  <c r="AE18" i="6" s="1"/>
  <c r="Z18" i="6"/>
  <c r="AD18" i="6" s="1"/>
  <c r="AB17" i="6"/>
  <c r="AF17" i="6" s="1"/>
  <c r="AA17" i="6"/>
  <c r="AE17" i="6" s="1"/>
  <c r="Z17" i="6"/>
  <c r="AB16" i="6"/>
  <c r="AF16" i="6" s="1"/>
  <c r="AA16" i="6"/>
  <c r="AE16" i="6" s="1"/>
  <c r="Z16" i="6"/>
  <c r="AD16" i="6" s="1"/>
  <c r="AB15" i="6"/>
  <c r="AF15" i="6" s="1"/>
  <c r="AA15" i="6"/>
  <c r="AE15" i="6" s="1"/>
  <c r="Z15" i="6"/>
  <c r="AB14" i="6"/>
  <c r="AF14" i="6" s="1"/>
  <c r="AA14" i="6"/>
  <c r="AE14" i="6" s="1"/>
  <c r="Z14" i="6"/>
  <c r="AD14" i="6" s="1"/>
  <c r="AB13" i="6"/>
  <c r="AF13" i="6" s="1"/>
  <c r="AA13" i="6"/>
  <c r="Z13" i="6"/>
  <c r="AD13" i="6" s="1"/>
  <c r="AB12" i="6"/>
  <c r="AF12" i="6" s="1"/>
  <c r="AA12" i="6"/>
  <c r="AE12" i="6" s="1"/>
  <c r="Z12" i="6"/>
  <c r="AB11" i="6"/>
  <c r="AF11" i="6" s="1"/>
  <c r="AA11" i="6"/>
  <c r="AE11" i="6" s="1"/>
  <c r="Z11" i="6"/>
  <c r="AD11" i="6" s="1"/>
  <c r="AB10" i="6"/>
  <c r="AF10" i="6" s="1"/>
  <c r="AA10" i="6"/>
  <c r="AE10" i="6" s="1"/>
  <c r="Z10" i="6"/>
  <c r="AD10" i="6" s="1"/>
  <c r="AB9" i="6"/>
  <c r="AF9" i="6" s="1"/>
  <c r="AA9" i="6"/>
  <c r="AE9" i="6" s="1"/>
  <c r="Z9" i="6"/>
  <c r="AD9" i="6" s="1"/>
  <c r="AB8" i="6"/>
  <c r="AF8" i="6" s="1"/>
  <c r="AA8" i="6"/>
  <c r="AE8" i="6" s="1"/>
  <c r="Z8" i="6"/>
  <c r="AB7" i="6"/>
  <c r="AF7" i="6" s="1"/>
  <c r="AA7" i="6"/>
  <c r="AE7" i="6" s="1"/>
  <c r="Z7" i="6"/>
  <c r="AD7" i="6" s="1"/>
  <c r="AG7" i="6" s="1"/>
  <c r="AB6" i="6"/>
  <c r="AF6" i="6" s="1"/>
  <c r="AA6" i="6"/>
  <c r="AE6" i="6" s="1"/>
  <c r="Z6" i="6"/>
  <c r="AD6" i="6" s="1"/>
  <c r="AB5" i="6"/>
  <c r="AF5" i="6" s="1"/>
  <c r="AA5" i="6"/>
  <c r="AE5" i="6" s="1"/>
  <c r="Z5" i="6"/>
  <c r="AD5" i="6" s="1"/>
  <c r="AB4" i="6"/>
  <c r="AF4" i="6" s="1"/>
  <c r="AA4" i="6"/>
  <c r="AE4" i="6" s="1"/>
  <c r="Z4" i="6"/>
  <c r="AD4" i="6" s="1"/>
  <c r="AB3" i="6"/>
  <c r="AF3" i="6" s="1"/>
  <c r="AA3" i="6"/>
  <c r="AE3" i="6" s="1"/>
  <c r="Z3" i="6"/>
  <c r="AD3" i="6" s="1"/>
  <c r="Z10" i="5"/>
  <c r="AD10" i="5" s="1"/>
  <c r="AA10" i="5"/>
  <c r="AE10" i="5" s="1"/>
  <c r="AB10" i="5"/>
  <c r="AF10" i="5" s="1"/>
  <c r="Z11" i="5"/>
  <c r="AA11" i="5"/>
  <c r="AE11" i="5" s="1"/>
  <c r="AB11" i="5"/>
  <c r="AF11" i="5" s="1"/>
  <c r="Z12" i="5"/>
  <c r="AA12" i="5"/>
  <c r="AE12" i="5" s="1"/>
  <c r="AB12" i="5"/>
  <c r="AF12" i="5" s="1"/>
  <c r="Z13" i="5"/>
  <c r="AA13" i="5"/>
  <c r="AE13" i="5" s="1"/>
  <c r="AB13" i="5"/>
  <c r="AF13" i="5" s="1"/>
  <c r="Z14" i="5"/>
  <c r="AA14" i="5"/>
  <c r="AB14" i="5"/>
  <c r="AD14" i="5"/>
  <c r="AE14" i="5"/>
  <c r="AF14" i="5"/>
  <c r="Z15" i="5"/>
  <c r="AA15" i="5"/>
  <c r="AE15" i="5" s="1"/>
  <c r="AB15" i="5"/>
  <c r="AF15" i="5" s="1"/>
  <c r="Z16" i="5"/>
  <c r="AA16" i="5"/>
  <c r="AB16" i="5"/>
  <c r="AD16" i="5"/>
  <c r="AE16" i="5"/>
  <c r="AF16" i="5"/>
  <c r="Z17" i="5"/>
  <c r="AA17" i="5"/>
  <c r="AE17" i="5" s="1"/>
  <c r="AB17" i="5"/>
  <c r="AF17" i="5" s="1"/>
  <c r="Z18" i="5"/>
  <c r="AA18" i="5"/>
  <c r="AE18" i="5" s="1"/>
  <c r="AB18" i="5"/>
  <c r="AF18" i="5" s="1"/>
  <c r="Z19" i="5"/>
  <c r="AA19" i="5"/>
  <c r="AE19" i="5" s="1"/>
  <c r="AB19" i="5"/>
  <c r="AF19" i="5" s="1"/>
  <c r="AB34" i="5"/>
  <c r="AF34" i="5" s="1"/>
  <c r="AA34" i="5"/>
  <c r="AE34" i="5" s="1"/>
  <c r="Z34" i="5"/>
  <c r="AD34" i="5" s="1"/>
  <c r="AB33" i="5"/>
  <c r="AF33" i="5" s="1"/>
  <c r="AA33" i="5"/>
  <c r="AE33" i="5" s="1"/>
  <c r="Z33" i="5"/>
  <c r="AD33" i="5" s="1"/>
  <c r="AB32" i="5"/>
  <c r="AF32" i="5" s="1"/>
  <c r="AA32" i="5"/>
  <c r="AE32" i="5" s="1"/>
  <c r="Z32" i="5"/>
  <c r="AC32" i="5" s="1"/>
  <c r="AB31" i="5"/>
  <c r="AF31" i="5" s="1"/>
  <c r="AA31" i="5"/>
  <c r="AE31" i="5" s="1"/>
  <c r="Z31" i="5"/>
  <c r="AD31" i="5" s="1"/>
  <c r="AB30" i="5"/>
  <c r="AF30" i="5" s="1"/>
  <c r="AA30" i="5"/>
  <c r="AE30" i="5" s="1"/>
  <c r="Z30" i="5"/>
  <c r="AB29" i="5"/>
  <c r="AF29" i="5" s="1"/>
  <c r="AA29" i="5"/>
  <c r="AE29" i="5" s="1"/>
  <c r="Z29" i="5"/>
  <c r="AD29" i="5" s="1"/>
  <c r="AB28" i="5"/>
  <c r="AF28" i="5" s="1"/>
  <c r="AA28" i="5"/>
  <c r="AE28" i="5" s="1"/>
  <c r="Z28" i="5"/>
  <c r="AD28" i="5" s="1"/>
  <c r="AB27" i="5"/>
  <c r="AF27" i="5" s="1"/>
  <c r="AA27" i="5"/>
  <c r="AE27" i="5" s="1"/>
  <c r="Z27" i="5"/>
  <c r="AD27" i="5" s="1"/>
  <c r="AB26" i="5"/>
  <c r="AF26" i="5" s="1"/>
  <c r="AA26" i="5"/>
  <c r="AE26" i="5" s="1"/>
  <c r="Z26" i="5"/>
  <c r="AD26" i="5" s="1"/>
  <c r="AB25" i="5"/>
  <c r="AF25" i="5" s="1"/>
  <c r="AA25" i="5"/>
  <c r="AE25" i="5" s="1"/>
  <c r="Z25" i="5"/>
  <c r="AD25" i="5" s="1"/>
  <c r="AB24" i="5"/>
  <c r="AF24" i="5" s="1"/>
  <c r="AA24" i="5"/>
  <c r="AE24" i="5" s="1"/>
  <c r="Z24" i="5"/>
  <c r="AD24" i="5" s="1"/>
  <c r="AB23" i="5"/>
  <c r="AF23" i="5" s="1"/>
  <c r="AA23" i="5"/>
  <c r="AE23" i="5" s="1"/>
  <c r="Z23" i="5"/>
  <c r="AD23" i="5" s="1"/>
  <c r="AB22" i="5"/>
  <c r="AF22" i="5" s="1"/>
  <c r="AA22" i="5"/>
  <c r="AE22" i="5" s="1"/>
  <c r="Z22" i="5"/>
  <c r="AB21" i="5"/>
  <c r="AF21" i="5" s="1"/>
  <c r="AA21" i="5"/>
  <c r="AE21" i="5" s="1"/>
  <c r="Z21" i="5"/>
  <c r="AD21" i="5" s="1"/>
  <c r="AB20" i="5"/>
  <c r="AF20" i="5" s="1"/>
  <c r="AA20" i="5"/>
  <c r="AE20" i="5" s="1"/>
  <c r="Z20" i="5"/>
  <c r="AD20" i="5" s="1"/>
  <c r="AB9" i="5"/>
  <c r="AA9" i="5"/>
  <c r="AE9" i="5" s="1"/>
  <c r="Z9" i="5"/>
  <c r="AD9" i="5" s="1"/>
  <c r="AB8" i="5"/>
  <c r="AA8" i="5"/>
  <c r="AE8" i="5" s="1"/>
  <c r="Z8" i="5"/>
  <c r="AD8" i="5" s="1"/>
  <c r="AB7" i="5"/>
  <c r="AA7" i="5"/>
  <c r="AE7" i="5" s="1"/>
  <c r="Z7" i="5"/>
  <c r="AD7" i="5" s="1"/>
  <c r="AB6" i="5"/>
  <c r="AA6" i="5"/>
  <c r="AE6" i="5" s="1"/>
  <c r="Z6" i="5"/>
  <c r="AD6" i="5" s="1"/>
  <c r="AB5" i="5"/>
  <c r="AF5" i="5" s="1"/>
  <c r="AA5" i="5"/>
  <c r="AE5" i="5" s="1"/>
  <c r="Z5" i="5"/>
  <c r="AD5" i="5" s="1"/>
  <c r="AB4" i="5"/>
  <c r="AF4" i="5" s="1"/>
  <c r="AA4" i="5"/>
  <c r="AE4" i="5" s="1"/>
  <c r="Z4" i="5"/>
  <c r="AD4" i="5" s="1"/>
  <c r="AB3" i="5"/>
  <c r="AA3" i="5"/>
  <c r="AE3" i="5" s="1"/>
  <c r="Z3" i="5"/>
  <c r="AD3" i="5" s="1"/>
  <c r="AD11" i="4"/>
  <c r="AE11" i="4"/>
  <c r="AF11" i="4"/>
  <c r="Z4" i="4"/>
  <c r="AA4" i="4"/>
  <c r="AE4" i="4" s="1"/>
  <c r="AB4" i="4"/>
  <c r="AF4" i="4" s="1"/>
  <c r="Z5" i="4"/>
  <c r="AD5" i="4" s="1"/>
  <c r="AA5" i="4"/>
  <c r="AE5" i="4" s="1"/>
  <c r="AB5" i="4"/>
  <c r="AF5" i="4" s="1"/>
  <c r="AA3" i="3"/>
  <c r="AC3" i="3"/>
  <c r="AA4" i="3"/>
  <c r="AB4" i="3"/>
  <c r="AC4" i="3"/>
  <c r="AA5" i="3"/>
  <c r="AB5" i="3"/>
  <c r="AC5" i="3"/>
  <c r="AA6" i="3"/>
  <c r="AB6" i="3"/>
  <c r="AC6" i="3"/>
  <c r="AA7" i="3"/>
  <c r="AB7" i="3"/>
  <c r="AC7" i="3"/>
  <c r="AA8" i="3"/>
  <c r="AB8" i="3"/>
  <c r="AC8" i="3"/>
  <c r="AA9" i="3"/>
  <c r="AB9" i="3"/>
  <c r="AC9" i="3"/>
  <c r="AA10" i="3"/>
  <c r="AB10" i="3"/>
  <c r="AC10" i="3"/>
  <c r="AA11" i="3"/>
  <c r="AB11" i="3"/>
  <c r="AC11" i="3"/>
  <c r="Z37" i="4"/>
  <c r="AD37" i="4" s="1"/>
  <c r="AA37" i="4"/>
  <c r="AE37" i="4" s="1"/>
  <c r="AB37" i="4"/>
  <c r="AF37" i="4" s="1"/>
  <c r="Z38" i="4"/>
  <c r="AD38" i="4" s="1"/>
  <c r="AA38" i="4"/>
  <c r="AE38" i="4" s="1"/>
  <c r="AB38" i="4"/>
  <c r="AF38" i="4" s="1"/>
  <c r="Z27" i="4"/>
  <c r="AD27" i="4" s="1"/>
  <c r="Z28" i="4"/>
  <c r="AD28" i="4" s="1"/>
  <c r="Z24" i="4"/>
  <c r="AD24" i="4" s="1"/>
  <c r="AA24" i="4"/>
  <c r="AE24" i="4" s="1"/>
  <c r="AB24" i="4"/>
  <c r="AF24" i="4" s="1"/>
  <c r="Z25" i="4"/>
  <c r="AD25" i="4" s="1"/>
  <c r="AA25" i="4"/>
  <c r="AE25" i="4" s="1"/>
  <c r="AB25" i="4"/>
  <c r="AF25" i="4" s="1"/>
  <c r="Z26" i="4"/>
  <c r="AD26" i="4" s="1"/>
  <c r="AA26" i="4"/>
  <c r="AE26" i="4" s="1"/>
  <c r="AB26" i="4"/>
  <c r="AF26" i="4" s="1"/>
  <c r="AA27" i="4"/>
  <c r="AE27" i="4" s="1"/>
  <c r="AB27" i="4"/>
  <c r="AF27" i="4" s="1"/>
  <c r="AA28" i="4"/>
  <c r="AE28" i="4" s="1"/>
  <c r="AB28" i="4"/>
  <c r="AF28" i="4" s="1"/>
  <c r="Z29" i="4"/>
  <c r="AD29" i="4" s="1"/>
  <c r="AA29" i="4"/>
  <c r="AE29" i="4" s="1"/>
  <c r="AB29" i="4"/>
  <c r="AF29" i="4" s="1"/>
  <c r="Z30" i="4"/>
  <c r="AD30" i="4" s="1"/>
  <c r="AA30" i="4"/>
  <c r="AE30" i="4" s="1"/>
  <c r="AB30" i="4"/>
  <c r="AF30" i="4" s="1"/>
  <c r="Z31" i="4"/>
  <c r="AD31" i="4" s="1"/>
  <c r="AA31" i="4"/>
  <c r="AE31" i="4" s="1"/>
  <c r="AB31" i="4"/>
  <c r="AF31" i="4" s="1"/>
  <c r="Z32" i="4"/>
  <c r="AD32" i="4" s="1"/>
  <c r="AA32" i="4"/>
  <c r="AE32" i="4" s="1"/>
  <c r="AB32" i="4"/>
  <c r="AF32" i="4" s="1"/>
  <c r="Z33" i="4"/>
  <c r="AD33" i="4" s="1"/>
  <c r="AA33" i="4"/>
  <c r="AE33" i="4" s="1"/>
  <c r="AB33" i="4"/>
  <c r="AF33" i="4" s="1"/>
  <c r="Z34" i="4"/>
  <c r="AD34" i="4" s="1"/>
  <c r="AA34" i="4"/>
  <c r="AE34" i="4" s="1"/>
  <c r="AB34" i="4"/>
  <c r="AF34" i="4" s="1"/>
  <c r="Z35" i="4"/>
  <c r="AD35" i="4" s="1"/>
  <c r="AA35" i="4"/>
  <c r="AE35" i="4" s="1"/>
  <c r="AB35" i="4"/>
  <c r="AF35" i="4" s="1"/>
  <c r="Z36" i="4"/>
  <c r="AD36" i="4" s="1"/>
  <c r="AA36" i="4"/>
  <c r="AE36" i="4" s="1"/>
  <c r="AB36" i="4"/>
  <c r="AF36" i="4" s="1"/>
  <c r="Z39" i="4"/>
  <c r="AD39" i="4" s="1"/>
  <c r="AA39" i="4"/>
  <c r="AE39" i="4" s="1"/>
  <c r="AB39" i="4"/>
  <c r="AF39" i="4" s="1"/>
  <c r="Z40" i="4"/>
  <c r="AD40" i="4" s="1"/>
  <c r="AA40" i="4"/>
  <c r="AE40" i="4" s="1"/>
  <c r="AB40" i="4"/>
  <c r="AF40" i="4" s="1"/>
  <c r="AB23" i="4"/>
  <c r="AF23" i="4" s="1"/>
  <c r="AA23" i="4"/>
  <c r="AE23" i="4" s="1"/>
  <c r="Z23" i="4"/>
  <c r="AD23" i="4" s="1"/>
  <c r="AB22" i="4"/>
  <c r="AF22" i="4" s="1"/>
  <c r="AA22" i="4"/>
  <c r="AE22" i="4" s="1"/>
  <c r="Z22" i="4"/>
  <c r="AD22" i="4" s="1"/>
  <c r="AB21" i="4"/>
  <c r="AF21" i="4" s="1"/>
  <c r="AA21" i="4"/>
  <c r="AE21" i="4" s="1"/>
  <c r="Z21" i="4"/>
  <c r="AD21" i="4" s="1"/>
  <c r="AG21" i="4" s="1"/>
  <c r="AB20" i="4"/>
  <c r="AF20" i="4" s="1"/>
  <c r="AA20" i="4"/>
  <c r="AE20" i="4" s="1"/>
  <c r="Z20" i="4"/>
  <c r="AD20" i="4" s="1"/>
  <c r="AB19" i="4"/>
  <c r="AF19" i="4" s="1"/>
  <c r="AA19" i="4"/>
  <c r="AE19" i="4" s="1"/>
  <c r="Z19" i="4"/>
  <c r="AD19" i="4" s="1"/>
  <c r="AB18" i="4"/>
  <c r="AF18" i="4" s="1"/>
  <c r="AA18" i="4"/>
  <c r="AE18" i="4" s="1"/>
  <c r="Z18" i="4"/>
  <c r="AD18" i="4" s="1"/>
  <c r="AB17" i="4"/>
  <c r="AF17" i="4" s="1"/>
  <c r="AA17" i="4"/>
  <c r="AE17" i="4" s="1"/>
  <c r="Z17" i="4"/>
  <c r="AD17" i="4" s="1"/>
  <c r="AG17" i="4" s="1"/>
  <c r="AB16" i="4"/>
  <c r="AF16" i="4" s="1"/>
  <c r="AA16" i="4"/>
  <c r="AE16" i="4" s="1"/>
  <c r="Z16" i="4"/>
  <c r="AD16" i="4" s="1"/>
  <c r="AB15" i="4"/>
  <c r="AF15" i="4" s="1"/>
  <c r="AA15" i="4"/>
  <c r="AE15" i="4" s="1"/>
  <c r="Z15" i="4"/>
  <c r="AD15" i="4" s="1"/>
  <c r="AB14" i="4"/>
  <c r="AF14" i="4" s="1"/>
  <c r="AA14" i="4"/>
  <c r="AE14" i="4" s="1"/>
  <c r="Z14" i="4"/>
  <c r="AD14" i="4" s="1"/>
  <c r="AB13" i="4"/>
  <c r="AF13" i="4" s="1"/>
  <c r="AA13" i="4"/>
  <c r="AE13" i="4" s="1"/>
  <c r="Z13" i="4"/>
  <c r="AD13" i="4" s="1"/>
  <c r="AG13" i="4" s="1"/>
  <c r="AB12" i="4"/>
  <c r="AF12" i="4" s="1"/>
  <c r="AA12" i="4"/>
  <c r="AE12" i="4" s="1"/>
  <c r="Z12" i="4"/>
  <c r="AD12" i="4" s="1"/>
  <c r="AB10" i="4"/>
  <c r="AF10" i="4" s="1"/>
  <c r="AA10" i="4"/>
  <c r="AE10" i="4" s="1"/>
  <c r="Z10" i="4"/>
  <c r="AD10" i="4" s="1"/>
  <c r="AB9" i="4"/>
  <c r="AF9" i="4" s="1"/>
  <c r="AA9" i="4"/>
  <c r="AE9" i="4" s="1"/>
  <c r="Z9" i="4"/>
  <c r="AD9" i="4" s="1"/>
  <c r="AB8" i="4"/>
  <c r="AF8" i="4" s="1"/>
  <c r="AA8" i="4"/>
  <c r="AE8" i="4" s="1"/>
  <c r="Z8" i="4"/>
  <c r="AD8" i="4" s="1"/>
  <c r="AB7" i="4"/>
  <c r="AF7" i="4" s="1"/>
  <c r="AA7" i="4"/>
  <c r="AE7" i="4" s="1"/>
  <c r="Z7" i="4"/>
  <c r="AD7" i="4" s="1"/>
  <c r="AB6" i="4"/>
  <c r="AF6" i="4" s="1"/>
  <c r="AA6" i="4"/>
  <c r="AE6" i="4" s="1"/>
  <c r="Z6" i="4"/>
  <c r="AD6" i="4" s="1"/>
  <c r="AF3" i="4"/>
  <c r="AA3" i="4"/>
  <c r="AE3" i="4" s="1"/>
  <c r="Z3" i="4"/>
  <c r="AC87" i="3"/>
  <c r="Y87" i="3"/>
  <c r="X87" i="3"/>
  <c r="AB87" i="3" s="1"/>
  <c r="W87" i="3"/>
  <c r="Z87" i="3" s="1"/>
  <c r="Y86" i="3"/>
  <c r="AC86" i="3" s="1"/>
  <c r="X86" i="3"/>
  <c r="AB86" i="3" s="1"/>
  <c r="W86" i="3"/>
  <c r="Z86" i="3" s="1"/>
  <c r="Y85" i="3"/>
  <c r="AC85" i="3" s="1"/>
  <c r="X85" i="3"/>
  <c r="AB85" i="3" s="1"/>
  <c r="W85" i="3"/>
  <c r="Z85" i="3" s="1"/>
  <c r="Y84" i="3"/>
  <c r="AC84" i="3" s="1"/>
  <c r="X84" i="3"/>
  <c r="AB84" i="3" s="1"/>
  <c r="W84" i="3"/>
  <c r="Z84" i="3" s="1"/>
  <c r="Y83" i="3"/>
  <c r="AC83" i="3" s="1"/>
  <c r="X83" i="3"/>
  <c r="AB83" i="3" s="1"/>
  <c r="W83" i="3"/>
  <c r="Z83" i="3" s="1"/>
  <c r="AA82" i="3"/>
  <c r="Y82" i="3"/>
  <c r="AC82" i="3" s="1"/>
  <c r="X82" i="3"/>
  <c r="AB82" i="3" s="1"/>
  <c r="W82" i="3"/>
  <c r="AB81" i="3"/>
  <c r="AA81" i="3"/>
  <c r="Y81" i="3"/>
  <c r="AC81" i="3" s="1"/>
  <c r="X81" i="3"/>
  <c r="W81" i="3"/>
  <c r="Z81" i="3" s="1"/>
  <c r="AB80" i="3"/>
  <c r="AA80" i="3"/>
  <c r="AD80" i="3" s="1"/>
  <c r="Y80" i="3"/>
  <c r="AC80" i="3" s="1"/>
  <c r="X80" i="3"/>
  <c r="W80" i="3"/>
  <c r="Z80" i="3" s="1"/>
  <c r="AB79" i="3"/>
  <c r="Y79" i="3"/>
  <c r="AC79" i="3" s="1"/>
  <c r="X79" i="3"/>
  <c r="W79" i="3"/>
  <c r="Z79" i="3" s="1"/>
  <c r="Y78" i="3"/>
  <c r="AC78" i="3" s="1"/>
  <c r="X78" i="3"/>
  <c r="AB78" i="3" s="1"/>
  <c r="W78" i="3"/>
  <c r="AA78" i="3" s="1"/>
  <c r="AB77" i="3"/>
  <c r="AA77" i="3"/>
  <c r="Y77" i="3"/>
  <c r="AC77" i="3" s="1"/>
  <c r="X77" i="3"/>
  <c r="W77" i="3"/>
  <c r="Z77" i="3" s="1"/>
  <c r="AC76" i="3"/>
  <c r="Y76" i="3"/>
  <c r="X76" i="3"/>
  <c r="AB76" i="3" s="1"/>
  <c r="W76" i="3"/>
  <c r="AA76" i="3" s="1"/>
  <c r="AB75" i="3"/>
  <c r="AA75" i="3"/>
  <c r="Y75" i="3"/>
  <c r="AC75" i="3" s="1"/>
  <c r="X75" i="3"/>
  <c r="W75" i="3"/>
  <c r="Z75" i="3" s="1"/>
  <c r="AC74" i="3"/>
  <c r="Y74" i="3"/>
  <c r="X74" i="3"/>
  <c r="AB74" i="3" s="1"/>
  <c r="W74" i="3"/>
  <c r="AA74" i="3" s="1"/>
  <c r="AB73" i="3"/>
  <c r="AA73" i="3"/>
  <c r="Y73" i="3"/>
  <c r="AC73" i="3" s="1"/>
  <c r="X73" i="3"/>
  <c r="W73" i="3"/>
  <c r="Z73" i="3" s="1"/>
  <c r="AC72" i="3"/>
  <c r="Y72" i="3"/>
  <c r="X72" i="3"/>
  <c r="AB72" i="3" s="1"/>
  <c r="W72" i="3"/>
  <c r="AA72" i="3" s="1"/>
  <c r="AD72" i="3" s="1"/>
  <c r="AB71" i="3"/>
  <c r="AA71" i="3"/>
  <c r="Y71" i="3"/>
  <c r="AC71" i="3" s="1"/>
  <c r="X71" i="3"/>
  <c r="W71" i="3"/>
  <c r="Z71" i="3" s="1"/>
  <c r="AC70" i="3"/>
  <c r="Y70" i="3"/>
  <c r="X70" i="3"/>
  <c r="AB70" i="3" s="1"/>
  <c r="W70" i="3"/>
  <c r="AA70" i="3" s="1"/>
  <c r="AB69" i="3"/>
  <c r="AA69" i="3"/>
  <c r="Y69" i="3"/>
  <c r="AC69" i="3" s="1"/>
  <c r="X69" i="3"/>
  <c r="W69" i="3"/>
  <c r="Z69" i="3" s="1"/>
  <c r="AC68" i="3"/>
  <c r="Y68" i="3"/>
  <c r="X68" i="3"/>
  <c r="AB68" i="3" s="1"/>
  <c r="W68" i="3"/>
  <c r="AA68" i="3" s="1"/>
  <c r="AD68" i="3" s="1"/>
  <c r="AB67" i="3"/>
  <c r="AA67" i="3"/>
  <c r="Y67" i="3"/>
  <c r="AC67" i="3" s="1"/>
  <c r="X67" i="3"/>
  <c r="W67" i="3"/>
  <c r="Z67" i="3" s="1"/>
  <c r="AC66" i="3"/>
  <c r="Y66" i="3"/>
  <c r="X66" i="3"/>
  <c r="AB66" i="3" s="1"/>
  <c r="W66" i="3"/>
  <c r="AA66" i="3" s="1"/>
  <c r="AB65" i="3"/>
  <c r="AA65" i="3"/>
  <c r="Y65" i="3"/>
  <c r="AC65" i="3" s="1"/>
  <c r="X65" i="3"/>
  <c r="W65" i="3"/>
  <c r="Z65" i="3" s="1"/>
  <c r="AC64" i="3"/>
  <c r="Y64" i="3"/>
  <c r="X64" i="3"/>
  <c r="AB64" i="3" s="1"/>
  <c r="W64" i="3"/>
  <c r="AA64" i="3" s="1"/>
  <c r="AD64" i="3" s="1"/>
  <c r="AB63" i="3"/>
  <c r="AA63" i="3"/>
  <c r="Y63" i="3"/>
  <c r="AC63" i="3" s="1"/>
  <c r="X63" i="3"/>
  <c r="W63" i="3"/>
  <c r="Z63" i="3" s="1"/>
  <c r="AC62" i="3"/>
  <c r="Y62" i="3"/>
  <c r="X62" i="3"/>
  <c r="AB62" i="3" s="1"/>
  <c r="W62" i="3"/>
  <c r="AA62" i="3" s="1"/>
  <c r="AB61" i="3"/>
  <c r="AA61" i="3"/>
  <c r="Y61" i="3"/>
  <c r="AC61" i="3" s="1"/>
  <c r="X61" i="3"/>
  <c r="W61" i="3"/>
  <c r="Z61" i="3" s="1"/>
  <c r="AC60" i="3"/>
  <c r="Y60" i="3"/>
  <c r="X60" i="3"/>
  <c r="AB60" i="3" s="1"/>
  <c r="W60" i="3"/>
  <c r="AA60" i="3" s="1"/>
  <c r="AD60" i="3" s="1"/>
  <c r="AB59" i="3"/>
  <c r="AA59" i="3"/>
  <c r="Y59" i="3"/>
  <c r="AC59" i="3" s="1"/>
  <c r="X59" i="3"/>
  <c r="W59" i="3"/>
  <c r="Z59" i="3" s="1"/>
  <c r="AC58" i="3"/>
  <c r="Y58" i="3"/>
  <c r="X58" i="3"/>
  <c r="AB58" i="3" s="1"/>
  <c r="W58" i="3"/>
  <c r="AA58" i="3" s="1"/>
  <c r="AB57" i="3"/>
  <c r="AA57" i="3"/>
  <c r="Y57" i="3"/>
  <c r="AC57" i="3" s="1"/>
  <c r="X57" i="3"/>
  <c r="W57" i="3"/>
  <c r="Z57" i="3" s="1"/>
  <c r="AC56" i="3"/>
  <c r="Y56" i="3"/>
  <c r="X56" i="3"/>
  <c r="AB56" i="3" s="1"/>
  <c r="W56" i="3"/>
  <c r="AA56" i="3" s="1"/>
  <c r="AD56" i="3" s="1"/>
  <c r="AB55" i="3"/>
  <c r="AA55" i="3"/>
  <c r="Y55" i="3"/>
  <c r="AC55" i="3" s="1"/>
  <c r="X55" i="3"/>
  <c r="W55" i="3"/>
  <c r="Z55" i="3" s="1"/>
  <c r="AC54" i="3"/>
  <c r="Y54" i="3"/>
  <c r="X54" i="3"/>
  <c r="AB54" i="3" s="1"/>
  <c r="W54" i="3"/>
  <c r="AA54" i="3" s="1"/>
  <c r="AB53" i="3"/>
  <c r="AA53" i="3"/>
  <c r="Y53" i="3"/>
  <c r="AC53" i="3" s="1"/>
  <c r="X53" i="3"/>
  <c r="W53" i="3"/>
  <c r="Z53" i="3" s="1"/>
  <c r="AC52" i="3"/>
  <c r="Y52" i="3"/>
  <c r="X52" i="3"/>
  <c r="AB52" i="3" s="1"/>
  <c r="W52" i="3"/>
  <c r="AA52" i="3" s="1"/>
  <c r="AD52" i="3" s="1"/>
  <c r="AB51" i="3"/>
  <c r="AA51" i="3"/>
  <c r="Y51" i="3"/>
  <c r="AC51" i="3" s="1"/>
  <c r="X51" i="3"/>
  <c r="W51" i="3"/>
  <c r="Z51" i="3" s="1"/>
  <c r="AC50" i="3"/>
  <c r="Y50" i="3"/>
  <c r="X50" i="3"/>
  <c r="AB50" i="3" s="1"/>
  <c r="W50" i="3"/>
  <c r="AA50" i="3" s="1"/>
  <c r="W31" i="3"/>
  <c r="X31" i="3"/>
  <c r="Y31" i="3"/>
  <c r="AC31" i="3" s="1"/>
  <c r="AA31" i="3"/>
  <c r="AB31" i="3"/>
  <c r="W32" i="3"/>
  <c r="X32" i="3"/>
  <c r="Y32" i="3"/>
  <c r="Z32" i="3" s="1"/>
  <c r="AA32" i="3"/>
  <c r="AB32" i="3"/>
  <c r="W33" i="3"/>
  <c r="X33" i="3"/>
  <c r="AB33" i="3" s="1"/>
  <c r="Y33" i="3"/>
  <c r="AC33" i="3" s="1"/>
  <c r="W34" i="3"/>
  <c r="AA34" i="3" s="1"/>
  <c r="X34" i="3"/>
  <c r="AB34" i="3" s="1"/>
  <c r="Y34" i="3"/>
  <c r="AC34" i="3" s="1"/>
  <c r="W35" i="3"/>
  <c r="Z35" i="3" s="1"/>
  <c r="X35" i="3"/>
  <c r="AB35" i="3" s="1"/>
  <c r="Y35" i="3"/>
  <c r="AC35" i="3" s="1"/>
  <c r="W36" i="3"/>
  <c r="X36" i="3"/>
  <c r="AB36" i="3" s="1"/>
  <c r="Y36" i="3"/>
  <c r="AC36" i="3" s="1"/>
  <c r="W37" i="3"/>
  <c r="X37" i="3"/>
  <c r="AB37" i="3" s="1"/>
  <c r="Y37" i="3"/>
  <c r="AC37" i="3" s="1"/>
  <c r="AA37" i="3"/>
  <c r="W38" i="3"/>
  <c r="X38" i="3"/>
  <c r="AB38" i="3" s="1"/>
  <c r="Y38" i="3"/>
  <c r="AC38" i="3" s="1"/>
  <c r="W39" i="3"/>
  <c r="Z39" i="3" s="1"/>
  <c r="X39" i="3"/>
  <c r="Y39" i="3"/>
  <c r="AC39" i="3" s="1"/>
  <c r="AA39" i="3"/>
  <c r="AB39" i="3"/>
  <c r="W40" i="3"/>
  <c r="X40" i="3"/>
  <c r="Y40" i="3"/>
  <c r="Z40" i="3"/>
  <c r="AA40" i="3"/>
  <c r="AB40" i="3"/>
  <c r="AC40" i="3"/>
  <c r="AD40" i="3"/>
  <c r="W41" i="3"/>
  <c r="X41" i="3"/>
  <c r="AB41" i="3" s="1"/>
  <c r="Y41" i="3"/>
  <c r="AC41" i="3" s="1"/>
  <c r="W42" i="3"/>
  <c r="X42" i="3"/>
  <c r="AB42" i="3" s="1"/>
  <c r="Y42" i="3"/>
  <c r="AC42" i="3" s="1"/>
  <c r="W43" i="3"/>
  <c r="AA43" i="3" s="1"/>
  <c r="X43" i="3"/>
  <c r="Y43" i="3"/>
  <c r="AC43" i="3" s="1"/>
  <c r="W44" i="3"/>
  <c r="Z44" i="3" s="1"/>
  <c r="X44" i="3"/>
  <c r="Y44" i="3"/>
  <c r="AA44" i="3"/>
  <c r="AD44" i="3" s="1"/>
  <c r="AB44" i="3"/>
  <c r="AC44" i="3"/>
  <c r="W45" i="3"/>
  <c r="Z45" i="3" s="1"/>
  <c r="X45" i="3"/>
  <c r="Y45" i="3"/>
  <c r="AA45" i="3"/>
  <c r="AD45" i="3" s="1"/>
  <c r="AB45" i="3"/>
  <c r="AC45" i="3"/>
  <c r="W46" i="3"/>
  <c r="Z46" i="3" s="1"/>
  <c r="X46" i="3"/>
  <c r="Y46" i="3"/>
  <c r="AB46" i="3"/>
  <c r="AC46" i="3"/>
  <c r="W47" i="3"/>
  <c r="Z47" i="3" s="1"/>
  <c r="X47" i="3"/>
  <c r="Y47" i="3"/>
  <c r="AA47" i="3"/>
  <c r="AD47" i="3" s="1"/>
  <c r="AB47" i="3"/>
  <c r="AC47" i="3"/>
  <c r="W48" i="3"/>
  <c r="Z48" i="3" s="1"/>
  <c r="X48" i="3"/>
  <c r="Y48" i="3"/>
  <c r="AA48" i="3"/>
  <c r="AD48" i="3" s="1"/>
  <c r="AB48" i="3"/>
  <c r="AC48" i="3"/>
  <c r="W49" i="3"/>
  <c r="Z49" i="3" s="1"/>
  <c r="X49" i="3"/>
  <c r="Y49" i="3"/>
  <c r="AA49" i="3"/>
  <c r="AD49" i="3" s="1"/>
  <c r="AB49" i="3"/>
  <c r="AC49" i="3"/>
  <c r="W25" i="3"/>
  <c r="X25" i="3"/>
  <c r="AB25" i="3" s="1"/>
  <c r="Y25" i="3"/>
  <c r="AC25" i="3" s="1"/>
  <c r="W26" i="3"/>
  <c r="X26" i="3"/>
  <c r="AB26" i="3" s="1"/>
  <c r="Y26" i="3"/>
  <c r="AC26" i="3" s="1"/>
  <c r="W27" i="3"/>
  <c r="X27" i="3"/>
  <c r="AB27" i="3" s="1"/>
  <c r="Y27" i="3"/>
  <c r="AC27" i="3" s="1"/>
  <c r="W28" i="3"/>
  <c r="AA28" i="3" s="1"/>
  <c r="X28" i="3"/>
  <c r="AB28" i="3" s="1"/>
  <c r="Y28" i="3"/>
  <c r="AC28" i="3" s="1"/>
  <c r="W29" i="3"/>
  <c r="AA29" i="3" s="1"/>
  <c r="X29" i="3"/>
  <c r="AB29" i="3" s="1"/>
  <c r="Y29" i="3"/>
  <c r="AC29" i="3" s="1"/>
  <c r="W30" i="3"/>
  <c r="AA30" i="3" s="1"/>
  <c r="X30" i="3"/>
  <c r="AB30" i="3" s="1"/>
  <c r="Y30" i="3"/>
  <c r="AC30" i="3" s="1"/>
  <c r="Y24" i="3"/>
  <c r="AC24" i="3" s="1"/>
  <c r="AD24" i="3" s="1"/>
  <c r="Z24" i="3"/>
  <c r="X24" i="3"/>
  <c r="AB24" i="3"/>
  <c r="W24" i="3"/>
  <c r="AA24" i="3" s="1"/>
  <c r="Y23" i="3"/>
  <c r="Z23" i="3" s="1"/>
  <c r="X23" i="3"/>
  <c r="AB23" i="3"/>
  <c r="W23" i="3"/>
  <c r="AA23" i="3" s="1"/>
  <c r="Y22" i="3"/>
  <c r="AC22" i="3"/>
  <c r="X22" i="3"/>
  <c r="AB22" i="3" s="1"/>
  <c r="W22" i="3"/>
  <c r="AA22" i="3" s="1"/>
  <c r="AD22" i="3" s="1"/>
  <c r="Y21" i="3"/>
  <c r="AC21" i="3" s="1"/>
  <c r="AD21" i="3" s="1"/>
  <c r="X21" i="3"/>
  <c r="AB21" i="3" s="1"/>
  <c r="W21" i="3"/>
  <c r="AA21" i="3" s="1"/>
  <c r="Y20" i="3"/>
  <c r="X20" i="3"/>
  <c r="AB20" i="3" s="1"/>
  <c r="W20" i="3"/>
  <c r="AA20" i="3" s="1"/>
  <c r="Y19" i="3"/>
  <c r="Z19" i="3" s="1"/>
  <c r="X19" i="3"/>
  <c r="AB19" i="3" s="1"/>
  <c r="W19" i="3"/>
  <c r="AA19" i="3" s="1"/>
  <c r="Y18" i="3"/>
  <c r="AC18" i="3" s="1"/>
  <c r="X18" i="3"/>
  <c r="AB18" i="3" s="1"/>
  <c r="W18" i="3"/>
  <c r="Y17" i="3"/>
  <c r="AC17" i="3" s="1"/>
  <c r="X17" i="3"/>
  <c r="AB17" i="3" s="1"/>
  <c r="W17" i="3"/>
  <c r="Y16" i="3"/>
  <c r="AC16" i="3" s="1"/>
  <c r="X16" i="3"/>
  <c r="AB16" i="3" s="1"/>
  <c r="W16" i="3"/>
  <c r="Y15" i="3"/>
  <c r="AC15" i="3" s="1"/>
  <c r="X15" i="3"/>
  <c r="AB15" i="3" s="1"/>
  <c r="W15" i="3"/>
  <c r="Y14" i="3"/>
  <c r="AC14" i="3" s="1"/>
  <c r="X14" i="3"/>
  <c r="AB14" i="3" s="1"/>
  <c r="W14" i="3"/>
  <c r="Y13" i="3"/>
  <c r="AC13" i="3" s="1"/>
  <c r="X13" i="3"/>
  <c r="AB13" i="3" s="1"/>
  <c r="W13" i="3"/>
  <c r="Y12" i="3"/>
  <c r="AC12" i="3" s="1"/>
  <c r="X12" i="3"/>
  <c r="W12" i="3"/>
  <c r="AA12" i="3" s="1"/>
  <c r="Y11" i="3"/>
  <c r="X11" i="3"/>
  <c r="W11" i="3"/>
  <c r="Y10" i="3"/>
  <c r="X10" i="3"/>
  <c r="W10" i="3"/>
  <c r="Y9" i="3"/>
  <c r="X9" i="3"/>
  <c r="W9" i="3"/>
  <c r="Y8" i="3"/>
  <c r="X8" i="3"/>
  <c r="W8" i="3"/>
  <c r="Y7" i="3"/>
  <c r="X7" i="3"/>
  <c r="W7" i="3"/>
  <c r="Y6" i="3"/>
  <c r="X6" i="3"/>
  <c r="W6" i="3"/>
  <c r="Y5" i="3"/>
  <c r="X5" i="3"/>
  <c r="W5" i="3"/>
  <c r="Y4" i="3"/>
  <c r="X4" i="3"/>
  <c r="W4" i="3"/>
  <c r="Y3" i="3"/>
  <c r="X3" i="3"/>
  <c r="W3" i="3"/>
  <c r="T3" i="2"/>
  <c r="X3" i="2" s="1"/>
  <c r="U3" i="2"/>
  <c r="Y3" i="2" s="1"/>
  <c r="V3" i="2"/>
  <c r="Z3" i="2"/>
  <c r="T4" i="2"/>
  <c r="W4" i="2" s="1"/>
  <c r="U4" i="2"/>
  <c r="V4" i="2"/>
  <c r="Y4" i="2"/>
  <c r="Z4" i="2"/>
  <c r="T5" i="2"/>
  <c r="U5" i="2"/>
  <c r="Y5" i="2" s="1"/>
  <c r="V5" i="2"/>
  <c r="Z5" i="2" s="1"/>
  <c r="T6" i="2"/>
  <c r="U6" i="2"/>
  <c r="Y6" i="2" s="1"/>
  <c r="V6" i="2"/>
  <c r="Z6" i="2" s="1"/>
  <c r="T7" i="2"/>
  <c r="X7" i="2" s="1"/>
  <c r="U7" i="2"/>
  <c r="Y7" i="2" s="1"/>
  <c r="V7" i="2"/>
  <c r="Z7" i="2" s="1"/>
  <c r="W7" i="2"/>
  <c r="T8" i="2"/>
  <c r="X8" i="2" s="1"/>
  <c r="U8" i="2"/>
  <c r="Y8" i="2" s="1"/>
  <c r="V8" i="2"/>
  <c r="Z8" i="2" s="1"/>
  <c r="W8" i="2"/>
  <c r="T9" i="2"/>
  <c r="U9" i="2"/>
  <c r="V9" i="2"/>
  <c r="Z9" i="2" s="1"/>
  <c r="W9" i="2"/>
  <c r="X9" i="2"/>
  <c r="AA9" i="2" s="1"/>
  <c r="Y9" i="2"/>
  <c r="T10" i="2"/>
  <c r="U10" i="2"/>
  <c r="V10" i="2"/>
  <c r="Z10" i="2" s="1"/>
  <c r="W10" i="2"/>
  <c r="X10" i="2"/>
  <c r="AA10" i="2" s="1"/>
  <c r="Y10" i="2"/>
  <c r="T11" i="2"/>
  <c r="U11" i="2"/>
  <c r="V11" i="2"/>
  <c r="W11" i="2"/>
  <c r="X11" i="2"/>
  <c r="Y11" i="2"/>
  <c r="Z11" i="2"/>
  <c r="AA11" i="2"/>
  <c r="T12" i="2"/>
  <c r="U12" i="2"/>
  <c r="V12" i="2"/>
  <c r="W12" i="2"/>
  <c r="X12" i="2"/>
  <c r="Y12" i="2"/>
  <c r="Z12" i="2"/>
  <c r="AA12" i="2"/>
  <c r="T13" i="2"/>
  <c r="U13" i="2"/>
  <c r="V13" i="2"/>
  <c r="W13" i="2"/>
  <c r="X13" i="2"/>
  <c r="Y13" i="2"/>
  <c r="Z13" i="2"/>
  <c r="AA13" i="2"/>
  <c r="T14" i="2"/>
  <c r="W14" i="2" s="1"/>
  <c r="U14" i="2"/>
  <c r="Y14" i="2" s="1"/>
  <c r="V14" i="2"/>
  <c r="Z14" i="2"/>
  <c r="T15" i="2"/>
  <c r="W15" i="2" s="1"/>
  <c r="U15" i="2"/>
  <c r="Y15" i="2" s="1"/>
  <c r="V15" i="2"/>
  <c r="Z15" i="2"/>
  <c r="T16" i="2"/>
  <c r="X16" i="2" s="1"/>
  <c r="U16" i="2"/>
  <c r="Y16" i="2" s="1"/>
  <c r="V16" i="2"/>
  <c r="Z16" i="2" s="1"/>
  <c r="T17" i="2"/>
  <c r="X17" i="2" s="1"/>
  <c r="U17" i="2"/>
  <c r="Y17" i="2" s="1"/>
  <c r="V17" i="2"/>
  <c r="Z17" i="2" s="1"/>
  <c r="W17" i="2"/>
  <c r="T18" i="2"/>
  <c r="U18" i="2"/>
  <c r="V18" i="2"/>
  <c r="Z18" i="2" s="1"/>
  <c r="W18" i="2"/>
  <c r="X18" i="2"/>
  <c r="AA18" i="2" s="1"/>
  <c r="Y18" i="2"/>
  <c r="AG40" i="4" l="1"/>
  <c r="AA3" i="2"/>
  <c r="W5" i="2"/>
  <c r="X4" i="2"/>
  <c r="AA4" i="2" s="1"/>
  <c r="W3" i="2"/>
  <c r="W6" i="2"/>
  <c r="AD22" i="9"/>
  <c r="AG22" i="9" s="1"/>
  <c r="AC22" i="9"/>
  <c r="AD18" i="9"/>
  <c r="AG18" i="9" s="1"/>
  <c r="AC18" i="9"/>
  <c r="AD19" i="9"/>
  <c r="AG19" i="9" s="1"/>
  <c r="AC19" i="9"/>
  <c r="AD20" i="9"/>
  <c r="AG20" i="9" s="1"/>
  <c r="AC20" i="9"/>
  <c r="AD21" i="9"/>
  <c r="AG21" i="9" s="1"/>
  <c r="AC21" i="9"/>
  <c r="AD13" i="9"/>
  <c r="AG13" i="9" s="1"/>
  <c r="AC13" i="9"/>
  <c r="AD14" i="9"/>
  <c r="AG14" i="9" s="1"/>
  <c r="AC14" i="9"/>
  <c r="AD15" i="9"/>
  <c r="AG15" i="9" s="1"/>
  <c r="AC15" i="9"/>
  <c r="AD16" i="9"/>
  <c r="AG16" i="9" s="1"/>
  <c r="AC16" i="9"/>
  <c r="AD17" i="9"/>
  <c r="AG17" i="9" s="1"/>
  <c r="AC17" i="9"/>
  <c r="AD8" i="9"/>
  <c r="AG8" i="9" s="1"/>
  <c r="AC8" i="9"/>
  <c r="AD9" i="9"/>
  <c r="AG9" i="9" s="1"/>
  <c r="AC9" i="9"/>
  <c r="AD10" i="9"/>
  <c r="AG10" i="9" s="1"/>
  <c r="AC10" i="9"/>
  <c r="AD11" i="9"/>
  <c r="AG11" i="9" s="1"/>
  <c r="AC11" i="9"/>
  <c r="AD12" i="9"/>
  <c r="AG12" i="9" s="1"/>
  <c r="AC12" i="9"/>
  <c r="AD3" i="9"/>
  <c r="AG3" i="9" s="1"/>
  <c r="AC3" i="9"/>
  <c r="AD4" i="9"/>
  <c r="AG4" i="9" s="1"/>
  <c r="AC4" i="9"/>
  <c r="AD5" i="9"/>
  <c r="AG5" i="9" s="1"/>
  <c r="AC5" i="9"/>
  <c r="AD6" i="9"/>
  <c r="AG6" i="9" s="1"/>
  <c r="AC6" i="9"/>
  <c r="AD7" i="9"/>
  <c r="AG7" i="9" s="1"/>
  <c r="AC7" i="9"/>
  <c r="AD3" i="8"/>
  <c r="AG3" i="8" s="1"/>
  <c r="AC3" i="8"/>
  <c r="AD4" i="8"/>
  <c r="AG4" i="8" s="1"/>
  <c r="AC4" i="8"/>
  <c r="AD5" i="8"/>
  <c r="AG5" i="8" s="1"/>
  <c r="AC5" i="8"/>
  <c r="AD6" i="8"/>
  <c r="AG6" i="8" s="1"/>
  <c r="AC6" i="8"/>
  <c r="AD7" i="8"/>
  <c r="AG7" i="8" s="1"/>
  <c r="AC7" i="8"/>
  <c r="AG8" i="8"/>
  <c r="AC8" i="8"/>
  <c r="AD9" i="8"/>
  <c r="AG9" i="8" s="1"/>
  <c r="AC9" i="8"/>
  <c r="AD10" i="8"/>
  <c r="AG10" i="8" s="1"/>
  <c r="AC10" i="8"/>
  <c r="AD11" i="8"/>
  <c r="AG11" i="8" s="1"/>
  <c r="AC11" i="8"/>
  <c r="AD12" i="8"/>
  <c r="AG12" i="8" s="1"/>
  <c r="AC12" i="8"/>
  <c r="AD13" i="8"/>
  <c r="AG13" i="8" s="1"/>
  <c r="AC13" i="8"/>
  <c r="AD14" i="8"/>
  <c r="AG14" i="8" s="1"/>
  <c r="AC14" i="8"/>
  <c r="AD15" i="8"/>
  <c r="AG15" i="8" s="1"/>
  <c r="AC15" i="8"/>
  <c r="AD16" i="8"/>
  <c r="AG16" i="8" s="1"/>
  <c r="AC16" i="8"/>
  <c r="AD17" i="8"/>
  <c r="AG17" i="8" s="1"/>
  <c r="AC17" i="8"/>
  <c r="AD18" i="8"/>
  <c r="AG18" i="8" s="1"/>
  <c r="AC18" i="8"/>
  <c r="AD19" i="8"/>
  <c r="AG19" i="8" s="1"/>
  <c r="AC19" i="8"/>
  <c r="AD20" i="8"/>
  <c r="AG20" i="8" s="1"/>
  <c r="AC20" i="8"/>
  <c r="AD21" i="8"/>
  <c r="AG21" i="8" s="1"/>
  <c r="AC21" i="8"/>
  <c r="AD22" i="8"/>
  <c r="AG22" i="8" s="1"/>
  <c r="AC22" i="8"/>
  <c r="AD11" i="7"/>
  <c r="AG11" i="7" s="1"/>
  <c r="AC11" i="7"/>
  <c r="AC25" i="7"/>
  <c r="AC26" i="7"/>
  <c r="AC27" i="7"/>
  <c r="AC28" i="7"/>
  <c r="AC29" i="7"/>
  <c r="AC30" i="7"/>
  <c r="AC31" i="7"/>
  <c r="AC32" i="7"/>
  <c r="AG16" i="5"/>
  <c r="AC16" i="5"/>
  <c r="AG14" i="5"/>
  <c r="AC14" i="5"/>
  <c r="AG29" i="4"/>
  <c r="AC24" i="7"/>
  <c r="AC23" i="7"/>
  <c r="AC22" i="7"/>
  <c r="AC21" i="7"/>
  <c r="AC20" i="7"/>
  <c r="AC19" i="7"/>
  <c r="AC18" i="7"/>
  <c r="AC17" i="7"/>
  <c r="AC16" i="7"/>
  <c r="AC15" i="7"/>
  <c r="AG13" i="7"/>
  <c r="AG12" i="7"/>
  <c r="AC12" i="7"/>
  <c r="AG10" i="7"/>
  <c r="AG9" i="7"/>
  <c r="AG8" i="7"/>
  <c r="AC8" i="7"/>
  <c r="AG7" i="7"/>
  <c r="AC7" i="7"/>
  <c r="AG6" i="7"/>
  <c r="AG5" i="7"/>
  <c r="AG4" i="7"/>
  <c r="AC4" i="7"/>
  <c r="AC21" i="6"/>
  <c r="AC25" i="6"/>
  <c r="AC11" i="6"/>
  <c r="AC8" i="6"/>
  <c r="AG3" i="6"/>
  <c r="AG14" i="7"/>
  <c r="AG15" i="7"/>
  <c r="AC6" i="7"/>
  <c r="AC10" i="7"/>
  <c r="AC14" i="7"/>
  <c r="AC5" i="7"/>
  <c r="AC9" i="7"/>
  <c r="AC13" i="7"/>
  <c r="AE16" i="7"/>
  <c r="AG16" i="7" s="1"/>
  <c r="AE17" i="7"/>
  <c r="AG17" i="7" s="1"/>
  <c r="AE18" i="7"/>
  <c r="AG18" i="7" s="1"/>
  <c r="AE19" i="7"/>
  <c r="AG19" i="7" s="1"/>
  <c r="AE20" i="7"/>
  <c r="AG20" i="7" s="1"/>
  <c r="AE21" i="7"/>
  <c r="AG21" i="7" s="1"/>
  <c r="AE22" i="7"/>
  <c r="AG22" i="7" s="1"/>
  <c r="AE23" i="7"/>
  <c r="AG23" i="7" s="1"/>
  <c r="AE24" i="7"/>
  <c r="AG24" i="7" s="1"/>
  <c r="AE25" i="7"/>
  <c r="AG25" i="7" s="1"/>
  <c r="AE26" i="7"/>
  <c r="AG26" i="7" s="1"/>
  <c r="AE27" i="7"/>
  <c r="AG27" i="7" s="1"/>
  <c r="AE28" i="7"/>
  <c r="AG28" i="7" s="1"/>
  <c r="AE29" i="7"/>
  <c r="AG29" i="7" s="1"/>
  <c r="AE30" i="7"/>
  <c r="AG30" i="7" s="1"/>
  <c r="AE31" i="7"/>
  <c r="AG31" i="7" s="1"/>
  <c r="AE32" i="7"/>
  <c r="AG32" i="7" s="1"/>
  <c r="AG6" i="6"/>
  <c r="AG11" i="6"/>
  <c r="AC12" i="6"/>
  <c r="AC13" i="6"/>
  <c r="AC20" i="6"/>
  <c r="AC24" i="6"/>
  <c r="AG10" i="6"/>
  <c r="AC15" i="6"/>
  <c r="AC17" i="6"/>
  <c r="AC19" i="6"/>
  <c r="AC23" i="6"/>
  <c r="AC27" i="6"/>
  <c r="AC7" i="6"/>
  <c r="AC22" i="6"/>
  <c r="AG5" i="6"/>
  <c r="AG4" i="6"/>
  <c r="AG9" i="6"/>
  <c r="AG14" i="6"/>
  <c r="AE13" i="6"/>
  <c r="AG13" i="6" s="1"/>
  <c r="AG16" i="6"/>
  <c r="AC3" i="6"/>
  <c r="AC4" i="6"/>
  <c r="AC5" i="6"/>
  <c r="AC6" i="6"/>
  <c r="AC10" i="6"/>
  <c r="AC14" i="6"/>
  <c r="AC16" i="6"/>
  <c r="AD17" i="6"/>
  <c r="AG17" i="6" s="1"/>
  <c r="AD12" i="6"/>
  <c r="AG12" i="6" s="1"/>
  <c r="AC9" i="6"/>
  <c r="AG18" i="6"/>
  <c r="AD8" i="6"/>
  <c r="AG8" i="6" s="1"/>
  <c r="AD15" i="6"/>
  <c r="AG15" i="6" s="1"/>
  <c r="AC18" i="6"/>
  <c r="AD19" i="6"/>
  <c r="AG19" i="6" s="1"/>
  <c r="AD20" i="6"/>
  <c r="AG20" i="6" s="1"/>
  <c r="AD21" i="6"/>
  <c r="AG21" i="6" s="1"/>
  <c r="AD22" i="6"/>
  <c r="AG22" i="6" s="1"/>
  <c r="AD23" i="6"/>
  <c r="AG23" i="6" s="1"/>
  <c r="AD24" i="6"/>
  <c r="AG24" i="6" s="1"/>
  <c r="AD25" i="6"/>
  <c r="AG25" i="6" s="1"/>
  <c r="AD27" i="6"/>
  <c r="AG27" i="6" s="1"/>
  <c r="AD26" i="6"/>
  <c r="AG26" i="6" s="1"/>
  <c r="AC19" i="5"/>
  <c r="AD19" i="5"/>
  <c r="AG19" i="5" s="1"/>
  <c r="AC18" i="5"/>
  <c r="AD18" i="5"/>
  <c r="AG18" i="5" s="1"/>
  <c r="AC17" i="5"/>
  <c r="AD17" i="5"/>
  <c r="AG17" i="5" s="1"/>
  <c r="AC15" i="5"/>
  <c r="AD15" i="5"/>
  <c r="AG15" i="5" s="1"/>
  <c r="AC13" i="5"/>
  <c r="AD13" i="5"/>
  <c r="AG13" i="5" s="1"/>
  <c r="AC12" i="5"/>
  <c r="AD12" i="5"/>
  <c r="AG12" i="5" s="1"/>
  <c r="AG10" i="5"/>
  <c r="AC11" i="5"/>
  <c r="AD11" i="5"/>
  <c r="AG11" i="5" s="1"/>
  <c r="AC10" i="5"/>
  <c r="AC30" i="5"/>
  <c r="AG21" i="5"/>
  <c r="AC22" i="5"/>
  <c r="AC24" i="5"/>
  <c r="AG29" i="5"/>
  <c r="AG5" i="5"/>
  <c r="AC7" i="5"/>
  <c r="AD32" i="5"/>
  <c r="AC3" i="5"/>
  <c r="AG23" i="5"/>
  <c r="AG31" i="5"/>
  <c r="AC9" i="5"/>
  <c r="AC26" i="5"/>
  <c r="AC34" i="5"/>
  <c r="AC6" i="5"/>
  <c r="AC8" i="5"/>
  <c r="AC20" i="5"/>
  <c r="AD22" i="5"/>
  <c r="AG22" i="5" s="1"/>
  <c r="AG27" i="5"/>
  <c r="AC28" i="5"/>
  <c r="AD30" i="5"/>
  <c r="AG30" i="5" s="1"/>
  <c r="AG4" i="5"/>
  <c r="AG25" i="5"/>
  <c r="AG33" i="5"/>
  <c r="AF3" i="5"/>
  <c r="AG3" i="5" s="1"/>
  <c r="AF6" i="5"/>
  <c r="AG6" i="5" s="1"/>
  <c r="AF7" i="5"/>
  <c r="AG7" i="5" s="1"/>
  <c r="AF8" i="5"/>
  <c r="AG8" i="5" s="1"/>
  <c r="AF9" i="5"/>
  <c r="AG9" i="5" s="1"/>
  <c r="AG20" i="5"/>
  <c r="AG24" i="5"/>
  <c r="AG26" i="5"/>
  <c r="AC4" i="5"/>
  <c r="AC5" i="5"/>
  <c r="AG28" i="5"/>
  <c r="AG34" i="5"/>
  <c r="AG32" i="5"/>
  <c r="AC21" i="5"/>
  <c r="AC23" i="5"/>
  <c r="AC25" i="5"/>
  <c r="AC27" i="5"/>
  <c r="AC29" i="5"/>
  <c r="AC31" i="5"/>
  <c r="AC33" i="5"/>
  <c r="AG34" i="4"/>
  <c r="AG30" i="4"/>
  <c r="AG37" i="4"/>
  <c r="AC4" i="4"/>
  <c r="AG25" i="4"/>
  <c r="AG9" i="4"/>
  <c r="AG14" i="4"/>
  <c r="AG18" i="4"/>
  <c r="AG22" i="4"/>
  <c r="AG7" i="4"/>
  <c r="AG12" i="4"/>
  <c r="AG16" i="4"/>
  <c r="AG20" i="4"/>
  <c r="AG24" i="4"/>
  <c r="AG6" i="4"/>
  <c r="AG10" i="4"/>
  <c r="AG15" i="4"/>
  <c r="AG19" i="4"/>
  <c r="AG23" i="4"/>
  <c r="AG35" i="4"/>
  <c r="AG31" i="4"/>
  <c r="AG28" i="4"/>
  <c r="AG38" i="4"/>
  <c r="AG5" i="4"/>
  <c r="AG36" i="4"/>
  <c r="AG33" i="4"/>
  <c r="AG32" i="4"/>
  <c r="AG26" i="4"/>
  <c r="AG27" i="4"/>
  <c r="AG8" i="4"/>
  <c r="AD4" i="4"/>
  <c r="AG4" i="4" s="1"/>
  <c r="AG39" i="4"/>
  <c r="AG11" i="4"/>
  <c r="AC5" i="4"/>
  <c r="AC38" i="4"/>
  <c r="AC37" i="4"/>
  <c r="AC40" i="4"/>
  <c r="AC25" i="4"/>
  <c r="AC39" i="4"/>
  <c r="AC36" i="4"/>
  <c r="AC35" i="4"/>
  <c r="AC34" i="4"/>
  <c r="AC33" i="4"/>
  <c r="AC32" i="4"/>
  <c r="AC31" i="4"/>
  <c r="AC29" i="4"/>
  <c r="AC30" i="4"/>
  <c r="AC28" i="4"/>
  <c r="AC27" i="4"/>
  <c r="AC26" i="4"/>
  <c r="AC24" i="4"/>
  <c r="AC9" i="4"/>
  <c r="AC14" i="4"/>
  <c r="AC18" i="4"/>
  <c r="AC22" i="4"/>
  <c r="AC23" i="4"/>
  <c r="AC8" i="4"/>
  <c r="AC13" i="4"/>
  <c r="AC17" i="4"/>
  <c r="AC21" i="4"/>
  <c r="AC7" i="4"/>
  <c r="AC12" i="4"/>
  <c r="AC16" i="4"/>
  <c r="AC20" i="4"/>
  <c r="AC6" i="4"/>
  <c r="AC10" i="4"/>
  <c r="AC15" i="4"/>
  <c r="AC19" i="4"/>
  <c r="AA46" i="3"/>
  <c r="AD46" i="3" s="1"/>
  <c r="AD50" i="3"/>
  <c r="AD58" i="3"/>
  <c r="AD66" i="3"/>
  <c r="AD74" i="3"/>
  <c r="AD76" i="3"/>
  <c r="AD54" i="3"/>
  <c r="AD62" i="3"/>
  <c r="AD70" i="3"/>
  <c r="AD78" i="3"/>
  <c r="AD57" i="3"/>
  <c r="AD59" i="3"/>
  <c r="AD61" i="3"/>
  <c r="AD67" i="3"/>
  <c r="AD69" i="3"/>
  <c r="AD71" i="3"/>
  <c r="AD73" i="3"/>
  <c r="AD77" i="3"/>
  <c r="AD82" i="3"/>
  <c r="AD51" i="3"/>
  <c r="AD53" i="3"/>
  <c r="AD55" i="3"/>
  <c r="AD63" i="3"/>
  <c r="AD65" i="3"/>
  <c r="AD75" i="3"/>
  <c r="AD81" i="3"/>
  <c r="Z50" i="3"/>
  <c r="Z52" i="3"/>
  <c r="Z54" i="3"/>
  <c r="Z56" i="3"/>
  <c r="Z58" i="3"/>
  <c r="Z60" i="3"/>
  <c r="Z62" i="3"/>
  <c r="Z64" i="3"/>
  <c r="Z66" i="3"/>
  <c r="Z68" i="3"/>
  <c r="Z70" i="3"/>
  <c r="Z72" i="3"/>
  <c r="Z74" i="3"/>
  <c r="Z76" i="3"/>
  <c r="Z78" i="3"/>
  <c r="AA79" i="3"/>
  <c r="AD79" i="3" s="1"/>
  <c r="Z82" i="3"/>
  <c r="AA83" i="3"/>
  <c r="AD83" i="3" s="1"/>
  <c r="AA84" i="3"/>
  <c r="AD84" i="3" s="1"/>
  <c r="AA85" i="3"/>
  <c r="AD85" i="3" s="1"/>
  <c r="AA86" i="3"/>
  <c r="AD86" i="3" s="1"/>
  <c r="AA87" i="3"/>
  <c r="AD87" i="3" s="1"/>
  <c r="AD31" i="3"/>
  <c r="Z22" i="3"/>
  <c r="AD29" i="3"/>
  <c r="AC32" i="3"/>
  <c r="AD32" i="3" s="1"/>
  <c r="Z20" i="3"/>
  <c r="Z21" i="3"/>
  <c r="AC23" i="3"/>
  <c r="AD23" i="3" s="1"/>
  <c r="Z37" i="3"/>
  <c r="AD39" i="3"/>
  <c r="AD37" i="3"/>
  <c r="Z31" i="3"/>
  <c r="Z43" i="3"/>
  <c r="Z42" i="3"/>
  <c r="AA42" i="3"/>
  <c r="AD42" i="3" s="1"/>
  <c r="Z41" i="3"/>
  <c r="AA41" i="3"/>
  <c r="AD41" i="3" s="1"/>
  <c r="Z38" i="3"/>
  <c r="AA38" i="3"/>
  <c r="AD38" i="3" s="1"/>
  <c r="AB43" i="3"/>
  <c r="AD43" i="3" s="1"/>
  <c r="Z36" i="3"/>
  <c r="AA36" i="3"/>
  <c r="AD36" i="3"/>
  <c r="AA35" i="3"/>
  <c r="AD35" i="3" s="1"/>
  <c r="AD34" i="3"/>
  <c r="Z34" i="3"/>
  <c r="Z33" i="3"/>
  <c r="AA33" i="3"/>
  <c r="AD33" i="3" s="1"/>
  <c r="Z30" i="3"/>
  <c r="AD30" i="3"/>
  <c r="Z27" i="3"/>
  <c r="Z29" i="3"/>
  <c r="Z25" i="3"/>
  <c r="AD28" i="3"/>
  <c r="Z28" i="3"/>
  <c r="AA27" i="3"/>
  <c r="AD27" i="3" s="1"/>
  <c r="Z26" i="3"/>
  <c r="AA26" i="3"/>
  <c r="AD26" i="3" s="1"/>
  <c r="AA25" i="3"/>
  <c r="AD25" i="3" s="1"/>
  <c r="AC20" i="3"/>
  <c r="AD20" i="3" s="1"/>
  <c r="AC19" i="3"/>
  <c r="AD19" i="3" s="1"/>
  <c r="Z14" i="3"/>
  <c r="Z18" i="3"/>
  <c r="Z3" i="3"/>
  <c r="Z11" i="3"/>
  <c r="Z17" i="3"/>
  <c r="Z4" i="3"/>
  <c r="Z9" i="3"/>
  <c r="Z5" i="3"/>
  <c r="Z8" i="3"/>
  <c r="Z12" i="3"/>
  <c r="Z15" i="3"/>
  <c r="Z7" i="3"/>
  <c r="Z10" i="3"/>
  <c r="Z13" i="3"/>
  <c r="Z6" i="3"/>
  <c r="Z16" i="3"/>
  <c r="AD4" i="3"/>
  <c r="AD5" i="3"/>
  <c r="AD6" i="3"/>
  <c r="AD7" i="3"/>
  <c r="AA13" i="3"/>
  <c r="AD13" i="3" s="1"/>
  <c r="AA14" i="3"/>
  <c r="AD14" i="3" s="1"/>
  <c r="AA15" i="3"/>
  <c r="AD15" i="3" s="1"/>
  <c r="AA16" i="3"/>
  <c r="AD16" i="3" s="1"/>
  <c r="AA17" i="3"/>
  <c r="AD17" i="3" s="1"/>
  <c r="AA18" i="3"/>
  <c r="AD18" i="3" s="1"/>
  <c r="AB3" i="3"/>
  <c r="AD3" i="3" s="1"/>
  <c r="AD8" i="3"/>
  <c r="AD9" i="3"/>
  <c r="AD10" i="3"/>
  <c r="AD11" i="3"/>
  <c r="AB12" i="3"/>
  <c r="AD12" i="3" s="1"/>
  <c r="AA8" i="2"/>
  <c r="AA17" i="2"/>
  <c r="AA7" i="2"/>
  <c r="AA16" i="2"/>
  <c r="W16" i="2"/>
  <c r="X15" i="2"/>
  <c r="AA15" i="2" s="1"/>
  <c r="X6" i="2"/>
  <c r="AA6" i="2" s="1"/>
  <c r="X14" i="2"/>
  <c r="AA14" i="2" s="1"/>
  <c r="X5" i="2"/>
  <c r="AA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tc={3498F244-240F-4E7B-9832-4E0952049C31}</author>
    <author>tc={03A46F81-C8E8-4E38-AE03-4BEF5781A420}</author>
    <author>tc={30AA7D94-C4A9-45A0-B1E0-9AD08D9D215F}</author>
    <author>tc={D0588535-2CC0-4167-8265-6B24617258FB}</author>
    <author>tc={F3DDC207-B6ED-44FF-9373-C80640668AA4}</author>
    <author>tc={2C5653AC-D4E6-4B3F-BDE2-B3E8BDFAEDE9}</author>
  </authors>
  <commentList>
    <comment ref="V3" authorId="0" shapeId="0" xr:uid="{3498F244-240F-4E7B-9832-4E0952049C31}">
      <text>
        <t>[Threaded comment]
Your version of Excel allows you to read this threaded comment; however, any edits to it will get removed if the file is opened in a newer version of Excel. Learn more: https://go.microsoft.com/fwlink/?linkid=870924
Comment:
    What if there’s little to no plants ?</t>
      </text>
    </comment>
    <comment ref="W3" authorId="1" shapeId="0" xr:uid="{03A46F81-C8E8-4E38-AE03-4BEF5781A420}">
      <text>
        <t>[Threaded comment]
Your version of Excel allows you to read this threaded comment; however, any edits to it will get removed if the file is opened in a newer version of Excel. Learn more: https://go.microsoft.com/fwlink/?linkid=870924
Comment:
    No vegetated areas ?</t>
      </text>
    </comment>
    <comment ref="O7" authorId="2" shapeId="0" xr:uid="{30AA7D94-C4A9-45A0-B1E0-9AD08D9D215F}">
      <text>
        <t>[Threaded comment]
Your version of Excel allows you to read this threaded comment; however, any edits to it will get removed if the file is opened in a newer version of Excel. Learn more: https://go.microsoft.com/fwlink/?linkid=870924
Comment:
    Supposé oui car prise de vu en aout, pas de fleurs mais diverses plantes à fleurs adultes</t>
      </text>
    </comment>
    <comment ref="U9" authorId="3" shapeId="0" xr:uid="{D0588535-2CC0-4167-8265-6B24617258FB}">
      <text>
        <t>[Threaded comment]
Your version of Excel allows you to read this threaded comment; however, any edits to it will get removed if the file is opened in a newer version of Excel. Learn more: https://go.microsoft.com/fwlink/?linkid=870924
Comment:
    Present at the base of some trees, absent on others</t>
      </text>
    </comment>
    <comment ref="R19" authorId="4" shapeId="0" xr:uid="{F3DDC207-B6ED-44FF-9373-C80640668AA4}">
      <text>
        <t>[Threaded comment]
Your version of Excel allows you to read this threaded comment; however, any edits to it will get removed if the file is opened in a newer version of Excel. Learn more: https://go.microsoft.com/fwlink/?linkid=870924
Comment:
    For grass growing on the margin of the street, we can put 0 because there’s no predefined areas, or 1 becase it grows even if there’s no defined aereas… but a 1 might enhance the score too much for what it actually is</t>
      </text>
    </comment>
    <comment ref="I23" authorId="5" shapeId="0" xr:uid="{2C5653AC-D4E6-4B3F-BDE2-B3E8BDFAEDE9}">
      <text>
        <t>[Threaded comment]
Your version of Excel allows you to read this threaded comment; however, any edits to it will get removed if the file is opened in a newer version of Excel. Learn more: https://go.microsoft.com/fwlink/?linkid=870924
Comment:
    There are only trees, but it gives much more the impression of «there’s a big nature present here» than for the very small plants getting a high wildness score because theyre not planted, not cut, different stages (but still very small)…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tc={7B69DE9A-1F64-4C03-A39F-E1C55F874FA0}</author>
    <author>tc={98A41B36-01E5-48D1-84BA-E924A69E03F5}</author>
    <author>tc={77954CA5-6442-4A88-AD09-59AEAF65F9AB}</author>
    <author>tc={539BBCC8-4AFD-411F-BE91-D154F2D9C454}</author>
    <author>tc={642CCC8C-9442-464C-95F0-F442A67049D7}</author>
    <author>tc={00F5B029-387D-4A14-8DC8-3C52855C72A2}</author>
    <author>tc={A6FDC690-9342-451F-846B-22947C0934F3}</author>
    <author>tc={93D9B761-389E-4FBB-86D2-E2AA68158B98}</author>
    <author>tc={BA43EC70-2567-4E4B-A6DD-1C1A44DE83DB}</author>
    <author>tc={929C3F53-3D1C-4244-BA02-9F258C3B3B2D}</author>
    <author>tc={53E21F35-50BC-494A-95DA-3A6A43DDBB84}</author>
    <author>tc={E8911D4D-53B9-4E0C-B157-64E8B2EFB193}</author>
    <author>tc={7E21CD7E-26A3-403D-8BE0-38053B5B69D5}</author>
    <author>tc={3EBB078D-0646-402F-A052-A1A22D221B70}</author>
    <author>tc={5430012D-BA29-4DE4-9F8A-0F66A3D45B60}</author>
    <author>tc={62BF1684-B9D0-473C-8798-C0D710C80479}</author>
    <author>tc={88D4FCF0-F219-40BE-A81F-F7699607CB79}</author>
    <author>tc={353F370F-4F16-4F3E-A3DC-1E94515EAB99}</author>
    <author>tc={85F31E1A-132C-444F-8C67-63F745EBC86D}</author>
    <author>tc={37038C80-9749-45B4-9447-1E3AB976C69F}</author>
    <author>tc={BBBEC9BC-8323-4AAC-BB5B-9161C800060E}</author>
    <author>tc={15565765-3794-4973-95DC-DB377B7820BB}</author>
    <author>tc={E895C3D4-D59B-455F-9B87-0D48FB719D83}</author>
    <author>tc={11AD0E91-621B-4B46-909B-B6D31E2E1B7A}</author>
    <author>tc={A7C2540F-5079-49F0-BD81-78B851122630}</author>
    <author>tc={C59FC1ED-D61E-4E9E-9DBC-DAC311276A52}</author>
  </authors>
  <commentList>
    <comment ref="S6" authorId="0" shapeId="0" xr:uid="{7B69DE9A-1F64-4C03-A39F-E1C55F874FA0}">
      <text>
        <t>[Threaded comment]
Your version of Excel allows you to read this threaded comment; however, any edits to it will get removed if the file is opened in a newer version of Excel. Learn more: https://go.microsoft.com/fwlink/?linkid=870924
Comment:
    What if there’s little to no plants ?</t>
      </text>
    </comment>
    <comment ref="T6" authorId="1" shapeId="0" xr:uid="{98A41B36-01E5-48D1-84BA-E924A69E03F5}">
      <text>
        <t>[Threaded comment]
Your version of Excel allows you to read this threaded comment; however, any edits to it will get removed if the file is opened in a newer version of Excel. Learn more: https://go.microsoft.com/fwlink/?linkid=870924
Comment:
    No vegetated areas ?</t>
      </text>
    </comment>
    <comment ref="B8" authorId="2" shapeId="0" xr:uid="{77954CA5-6442-4A88-AD09-59AEAF65F9AB}">
      <text>
        <t>[Threaded comment]
Your version of Excel allows you to read this threaded comment; however, any edits to it will get removed if the file is opened in a newer version of Excel. Learn more: https://go.microsoft.com/fwlink/?linkid=870924
Comment:
    Voie privé !!!</t>
      </text>
    </comment>
    <comment ref="U11" authorId="3" shapeId="0" xr:uid="{539BBCC8-4AFD-411F-BE91-D154F2D9C454}">
      <text>
        <t>[Threaded comment]
Your version of Excel allows you to read this threaded comment; however, any edits to it will get removed if the file is opened in a newer version of Excel. Learn more: https://go.microsoft.com/fwlink/?linkid=870924
Comment:
    0 because 0 plants, either planted or spontaneous</t>
      </text>
    </comment>
    <comment ref="L13" authorId="4" shapeId="0" xr:uid="{642CCC8C-9442-464C-95F0-F442A67049D7}">
      <text>
        <t>[Threaded comment]
Your version of Excel allows you to read this threaded comment; however, any edits to it will get removed if the file is opened in a newer version of Excel. Learn more: https://go.microsoft.com/fwlink/?linkid=870924
Comment:
    Supposé oui car prise de vu en aout, pas de fleurs mais diverses plantes à fleurs adultes</t>
      </text>
    </comment>
    <comment ref="R16" authorId="5" shapeId="0" xr:uid="{00F5B029-387D-4A14-8DC8-3C52855C72A2}">
      <text>
        <t>[Threaded comment]
Your version of Excel allows you to read this threaded comment; however, any edits to it will get removed if the file is opened in a newer version of Excel. Learn more: https://go.microsoft.com/fwlink/?linkid=870924
Comment:
    Present at the base of some trees, absent on others</t>
      </text>
    </comment>
    <comment ref="R17" authorId="6" shapeId="0" xr:uid="{A6FDC690-9342-451F-846B-22947C0934F3}">
      <text>
        <t>[Threaded comment]
Your version of Excel allows you to read this threaded comment; however, any edits to it will get removed if the file is opened in a newer version of Excel. Learn more: https://go.microsoft.com/fwlink/?linkid=870924
Comment:
    Present at the base of some trees, absent on others</t>
      </text>
    </comment>
    <comment ref="K19" authorId="7" shapeId="0" xr:uid="{93D9B761-389E-4FBB-86D2-E2AA68158B98}">
      <text>
        <t>[Threaded comment]
Your version of Excel allows you to read this threaded comment; however, any edits to it will get removed if the file is opened in a newer version of Excel. Learn more: https://go.microsoft.com/fwlink/?linkid=870924
Comment:
    0 from the side walk BUT 1 from the private garden that overgrows on the sidewalk</t>
      </text>
    </comment>
    <comment ref="R19" authorId="8" shapeId="0" xr:uid="{BA43EC70-2567-4E4B-A6DD-1C1A44DE83DB}">
      <text>
        <t>[Threaded comment]
Your version of Excel allows you to read this threaded comment; however, any edits to it will get removed if the file is opened in a newer version of Excel. Learn more: https://go.microsoft.com/fwlink/?linkid=870924
Comment:
    Fence, but delimitating a private vegetated area</t>
      </text>
    </comment>
    <comment ref="O20" authorId="9" shapeId="0" xr:uid="{929C3F53-3D1C-4244-BA02-9F258C3B3B2D}">
      <text>
        <t>[Threaded comment]
Your version of Excel allows you to read this threaded comment; however, any edits to it will get removed if the file is opened in a newer version of Excel. Learn more: https://go.microsoft.com/fwlink/?linkid=870924
Comment:
    For grass growing on the margin of the street, we can put 0 because there’s no predefined areas, or 1 becase it grows even if there’s no defined aereas… but a 1 might enhance the score too much for what it actually is</t>
      </text>
    </comment>
    <comment ref="F21" authorId="10" shapeId="0" xr:uid="{53E21F35-50BC-494A-95DA-3A6A43DDBB84}">
      <text>
        <t>[Threaded comment]
Your version of Excel allows you to read this threaded comment; however, any edits to it will get removed if the file is opened in a newer version of Excel. Learn more: https://go.microsoft.com/fwlink/?linkid=870924
Comment:
    I put almost all  bcse there are just some dead leaves</t>
      </text>
    </comment>
    <comment ref="M31" authorId="11" shapeId="0" xr:uid="{E8911D4D-53B9-4E0C-B157-64E8B2EFB193}">
      <text>
        <t xml:space="preserve">[Threaded comment]
Your version of Excel allows you to read this threaded comment; however, any edits to it will get removed if the file is opened in a newer version of Excel. Learn more: https://go.microsoft.com/fwlink/?linkid=870924
Comment:
    Does sort of gravel counts ?
</t>
      </text>
    </comment>
    <comment ref="C36" authorId="12" shapeId="0" xr:uid="{7E21CD7E-26A3-403D-8BE0-38053B5B69D5}">
      <text>
        <t>[Threaded comment]
Your version of Excel allows you to read this threaded comment; however, any edits to it will get removed if the file is opened in a newer version of Excel. Learn more: https://go.microsoft.com/fwlink/?linkid=870924
Comment:
    Almost entierly grey</t>
      </text>
    </comment>
    <comment ref="S50" authorId="13" shapeId="0" xr:uid="{3EBB078D-0646-402F-A052-A1A22D221B70}">
      <text>
        <t>[Threaded comment]
Your version of Excel allows you to read this threaded comment; however, any edits to it will get removed if the file is opened in a newer version of Excel. Learn more: https://go.microsoft.com/fwlink/?linkid=870924
Comment:
    What if there’s little to no plants ?</t>
      </text>
    </comment>
    <comment ref="T50" authorId="14" shapeId="0" xr:uid="{5430012D-BA29-4DE4-9F8A-0F66A3D45B60}">
      <text>
        <t>[Threaded comment]
Your version of Excel allows you to read this threaded comment; however, any edits to it will get removed if the file is opened in a newer version of Excel. Learn more: https://go.microsoft.com/fwlink/?linkid=870924
Comment:
    No vegetated areas ?</t>
      </text>
    </comment>
    <comment ref="B52" authorId="15" shapeId="0" xr:uid="{62BF1684-B9D0-473C-8798-C0D710C80479}">
      <text>
        <t>[Threaded comment]
Your version of Excel allows you to read this threaded comment; however, any edits to it will get removed if the file is opened in a newer version of Excel. Learn more: https://go.microsoft.com/fwlink/?linkid=870924
Comment:
    Voie privé !!!</t>
      </text>
    </comment>
    <comment ref="U55" authorId="16" shapeId="0" xr:uid="{88D4FCF0-F219-40BE-A81F-F7699607CB79}">
      <text>
        <t>[Threaded comment]
Your version of Excel allows you to read this threaded comment; however, any edits to it will get removed if the file is opened in a newer version of Excel. Learn more: https://go.microsoft.com/fwlink/?linkid=870924
Comment:
    0 because 0 plants, either planted or spontaneous</t>
      </text>
    </comment>
    <comment ref="L57" authorId="17" shapeId="0" xr:uid="{353F370F-4F16-4F3E-A3DC-1E94515EAB99}">
      <text>
        <t>[Threaded comment]
Your version of Excel allows you to read this threaded comment; however, any edits to it will get removed if the file is opened in a newer version of Excel. Learn more: https://go.microsoft.com/fwlink/?linkid=870924
Comment:
    Supposé oui car prise de vu en aout, pas de fleurs mais diverses plantes à fleurs adultes</t>
      </text>
    </comment>
    <comment ref="R60" authorId="18" shapeId="0" xr:uid="{85F31E1A-132C-444F-8C67-63F745EBC86D}">
      <text>
        <t>[Threaded comment]
Your version of Excel allows you to read this threaded comment; however, any edits to it will get removed if the file is opened in a newer version of Excel. Learn more: https://go.microsoft.com/fwlink/?linkid=870924
Comment:
    Present at the base of some trees, absent on others</t>
      </text>
    </comment>
    <comment ref="R61" authorId="19" shapeId="0" xr:uid="{37038C80-9749-45B4-9447-1E3AB976C69F}">
      <text>
        <t>[Threaded comment]
Your version of Excel allows you to read this threaded comment; however, any edits to it will get removed if the file is opened in a newer version of Excel. Learn more: https://go.microsoft.com/fwlink/?linkid=870924
Comment:
    Present at the base of some trees, absent on others</t>
      </text>
    </comment>
    <comment ref="K63" authorId="20" shapeId="0" xr:uid="{BBBEC9BC-8323-4AAC-BB5B-9161C800060E}">
      <text>
        <t>[Threaded comment]
Your version of Excel allows you to read this threaded comment; however, any edits to it will get removed if the file is opened in a newer version of Excel. Learn more: https://go.microsoft.com/fwlink/?linkid=870924
Comment:
    0 from the side walk BUT 1 from the private garden that overgrows on the sidewalk</t>
      </text>
    </comment>
    <comment ref="R63" authorId="21" shapeId="0" xr:uid="{15565765-3794-4973-95DC-DB377B7820BB}">
      <text>
        <t>[Threaded comment]
Your version of Excel allows you to read this threaded comment; however, any edits to it will get removed if the file is opened in a newer version of Excel. Learn more: https://go.microsoft.com/fwlink/?linkid=870924
Comment:
    Fence, but delimitating a private vegetated area</t>
      </text>
    </comment>
    <comment ref="O64" authorId="22" shapeId="0" xr:uid="{E895C3D4-D59B-455F-9B87-0D48FB719D83}">
      <text>
        <t>[Threaded comment]
Your version of Excel allows you to read this threaded comment; however, any edits to it will get removed if the file is opened in a newer version of Excel. Learn more: https://go.microsoft.com/fwlink/?linkid=870924
Comment:
    For grass growing on the margin of the street, we can put 0 because there’s no predefined areas, or 1 becase it grows even if there’s no defined aereas… but a 1 might enhance the score too much for what it actually is</t>
      </text>
    </comment>
    <comment ref="F65" authorId="23" shapeId="0" xr:uid="{11AD0E91-621B-4B46-909B-B6D31E2E1B7A}">
      <text>
        <t>[Threaded comment]
Your version of Excel allows you to read this threaded comment; however, any edits to it will get removed if the file is opened in a newer version of Excel. Learn more: https://go.microsoft.com/fwlink/?linkid=870924
Comment:
    I put almost all  bcse there are just some dead leaves</t>
      </text>
    </comment>
    <comment ref="M75" authorId="24" shapeId="0" xr:uid="{A7C2540F-5079-49F0-BD81-78B851122630}">
      <text>
        <t xml:space="preserve">[Threaded comment]
Your version of Excel allows you to read this threaded comment; however, any edits to it will get removed if the file is opened in a newer version of Excel. Learn more: https://go.microsoft.com/fwlink/?linkid=870924
Comment:
    Does sort of gravel counts ?
</t>
      </text>
    </comment>
    <comment ref="C80" authorId="25" shapeId="0" xr:uid="{C59FC1ED-D61E-4E9E-9DBC-DAC311276A52}">
      <text>
        <t>[Threaded comment]
Your version of Excel allows you to read this threaded comment; however, any edits to it will get removed if the file is opened in a newer version of Excel. Learn more: https://go.microsoft.com/fwlink/?linkid=870924
Comment:
    Almost entierly grey</t>
      </text>
    </comment>
  </commentList>
</comments>
</file>

<file path=xl/sharedStrings.xml><?xml version="1.0" encoding="utf-8"?>
<sst xmlns="http://schemas.openxmlformats.org/spreadsheetml/2006/main" count="1079" uniqueCount="270">
  <si>
    <r>
      <t>Structural complexity</t>
    </r>
    <r>
      <rPr>
        <sz val="12"/>
        <color theme="1"/>
        <rFont val="Aptos Display"/>
        <family val="2"/>
        <scheme val="major"/>
      </rPr>
      <t xml:space="preserve">
</t>
    </r>
    <r>
      <rPr>
        <u/>
        <sz val="12"/>
        <color theme="1"/>
        <rFont val="Aptos Display"/>
        <family val="2"/>
        <scheme val="major"/>
      </rPr>
      <t>presence: 1; absence: 0</t>
    </r>
  </si>
  <si>
    <r>
      <rPr>
        <b/>
        <sz val="12"/>
        <color rgb="FF000000"/>
        <rFont val="Aptos Display"/>
        <scheme val="major"/>
      </rPr>
      <t xml:space="preserve">Spatial configuration /landscape features
</t>
    </r>
    <r>
      <rPr>
        <u/>
        <sz val="12"/>
        <color rgb="FF000000"/>
        <rFont val="Aptos Display"/>
        <scheme val="major"/>
      </rPr>
      <t>presence: 1; absence: 0</t>
    </r>
  </si>
  <si>
    <r>
      <rPr>
        <b/>
        <sz val="11"/>
        <color rgb="FF000000"/>
        <rFont val="Aptos Display"/>
        <scheme val="major"/>
      </rPr>
      <t xml:space="preserve">Clues of anthropic intervention 
</t>
    </r>
    <r>
      <rPr>
        <u/>
        <sz val="11"/>
        <color rgb="FF000000"/>
        <rFont val="Aptos Display"/>
        <scheme val="major"/>
      </rPr>
      <t>*presence: 0; absence: 1</t>
    </r>
  </si>
  <si>
    <t>Site</t>
  </si>
  <si>
    <t>Sites</t>
  </si>
  <si>
    <t>My subjective , first impresion scale (0-5)</t>
  </si>
  <si>
    <r>
      <rPr>
        <b/>
        <sz val="12"/>
        <color theme="1"/>
        <rFont val="Aptos Display"/>
        <family val="2"/>
        <scheme val="major"/>
      </rPr>
      <t>1. Seedlings</t>
    </r>
    <r>
      <rPr>
        <sz val="12"/>
        <color theme="1"/>
        <rFont val="Aptos Display"/>
        <family val="2"/>
        <scheme val="major"/>
      </rPr>
      <t>: Presence of clearly visible early life stages</t>
    </r>
  </si>
  <si>
    <r>
      <rPr>
        <b/>
        <sz val="12"/>
        <color theme="1"/>
        <rFont val="Aptos Display"/>
        <family val="2"/>
        <scheme val="major"/>
      </rPr>
      <t>2.</t>
    </r>
    <r>
      <rPr>
        <sz val="12"/>
        <color theme="1"/>
        <rFont val="Aptos Display"/>
        <family val="2"/>
        <scheme val="major"/>
      </rPr>
      <t xml:space="preserve"> </t>
    </r>
    <r>
      <rPr>
        <b/>
        <sz val="12"/>
        <color theme="1"/>
        <rFont val="Aptos Display"/>
        <family val="2"/>
        <scheme val="major"/>
      </rPr>
      <t>Reproduction stages</t>
    </r>
    <r>
      <rPr>
        <sz val="12"/>
        <color theme="1"/>
        <rFont val="Aptos Display"/>
        <family val="2"/>
        <scheme val="major"/>
      </rPr>
      <t>: Presence of reproduction stages (flowers and/or fruits).</t>
    </r>
  </si>
  <si>
    <r>
      <rPr>
        <b/>
        <sz val="12"/>
        <color theme="1"/>
        <rFont val="Aptos Display"/>
        <family val="2"/>
        <scheme val="major"/>
      </rPr>
      <t>3. Dead stages</t>
    </r>
    <r>
      <rPr>
        <sz val="12"/>
        <color theme="1"/>
        <rFont val="Aptos Display"/>
        <family val="2"/>
        <scheme val="major"/>
      </rPr>
      <t xml:space="preserve">: Presence of dead branches, stems or flowers in any of the three strata. </t>
    </r>
  </si>
  <si>
    <r>
      <rPr>
        <b/>
        <sz val="12"/>
        <color theme="1"/>
        <rFont val="Aptos Display"/>
        <family val="2"/>
        <scheme val="major"/>
      </rPr>
      <t>4.</t>
    </r>
    <r>
      <rPr>
        <sz val="12"/>
        <color theme="1"/>
        <rFont val="Aptos Display"/>
        <family val="2"/>
        <scheme val="major"/>
      </rPr>
      <t xml:space="preserve"> </t>
    </r>
    <r>
      <rPr>
        <b/>
        <sz val="12"/>
        <color theme="1"/>
        <rFont val="Aptos Display"/>
        <family val="2"/>
        <scheme val="major"/>
      </rPr>
      <t>Decomposition</t>
    </r>
    <r>
      <rPr>
        <sz val="12"/>
        <color theme="1"/>
        <rFont val="Aptos Display"/>
        <family val="2"/>
        <scheme val="major"/>
      </rPr>
      <t>: Presence of   decomposing parts in the ground, clearly visible (leaves, branches, trunks etc.)</t>
    </r>
  </si>
  <si>
    <r>
      <rPr>
        <b/>
        <sz val="12"/>
        <color theme="1"/>
        <rFont val="Aptos Display"/>
        <family val="2"/>
        <scheme val="major"/>
      </rPr>
      <t>5. Different strata</t>
    </r>
    <r>
      <rPr>
        <sz val="12"/>
        <color theme="1"/>
        <rFont val="Aptos Display"/>
        <family val="2"/>
        <scheme val="major"/>
      </rPr>
      <t>: Herbaceous, shrub, tree, lianas. At least 2.</t>
    </r>
  </si>
  <si>
    <r>
      <rPr>
        <b/>
        <sz val="12"/>
        <color theme="1"/>
        <rFont val="Aptos Display"/>
        <family val="2"/>
        <scheme val="major"/>
      </rPr>
      <t>6.</t>
    </r>
    <r>
      <rPr>
        <sz val="12"/>
        <color theme="1"/>
        <rFont val="Aptos Display"/>
        <family val="2"/>
        <scheme val="major"/>
      </rPr>
      <t xml:space="preserve"> </t>
    </r>
    <r>
      <rPr>
        <b/>
        <sz val="12"/>
        <color theme="1"/>
        <rFont val="Aptos Display"/>
        <family val="2"/>
        <scheme val="major"/>
      </rPr>
      <t>Colours of flowers</t>
    </r>
    <r>
      <rPr>
        <sz val="12"/>
        <color theme="1"/>
        <rFont val="Aptos Display"/>
        <family val="2"/>
        <scheme val="major"/>
      </rPr>
      <t>: Presence of different colours of flowers. At least 2.</t>
    </r>
  </si>
  <si>
    <r>
      <rPr>
        <b/>
        <sz val="12"/>
        <color theme="1"/>
        <rFont val="Aptos Display"/>
        <family val="2"/>
        <scheme val="major"/>
      </rPr>
      <t>1. Irregular topography</t>
    </r>
    <r>
      <rPr>
        <sz val="12"/>
        <color theme="1"/>
        <rFont val="Aptos Display"/>
        <family val="2"/>
        <scheme val="major"/>
      </rPr>
      <t>: Clearly visible uneven terrain.</t>
    </r>
  </si>
  <si>
    <r>
      <rPr>
        <b/>
        <sz val="12"/>
        <rFont val="Aptos Display"/>
        <family val="2"/>
        <scheme val="major"/>
      </rPr>
      <t>2. Irregularity in spatial distribution</t>
    </r>
    <r>
      <rPr>
        <sz val="12"/>
        <rFont val="Aptos Display"/>
        <family val="2"/>
        <scheme val="major"/>
      </rPr>
      <t>: Lack of clearly identifiable geometrical patterns and designed shapes.  (The lack of patterns counts 1.)</t>
    </r>
  </si>
  <si>
    <r>
      <rPr>
        <b/>
        <sz val="12"/>
        <color theme="1"/>
        <rFont val="Aptos Display"/>
        <family val="2"/>
        <scheme val="major"/>
      </rPr>
      <t>3.</t>
    </r>
    <r>
      <rPr>
        <sz val="12"/>
        <color theme="1"/>
        <rFont val="Aptos Display"/>
        <family val="2"/>
        <scheme val="major"/>
      </rPr>
      <t xml:space="preserve"> </t>
    </r>
    <r>
      <rPr>
        <b/>
        <sz val="12"/>
        <color theme="1"/>
        <rFont val="Aptos Display"/>
        <family val="2"/>
        <scheme val="major"/>
      </rPr>
      <t>Margins and edges</t>
    </r>
    <r>
      <rPr>
        <sz val="12"/>
        <color theme="1"/>
        <rFont val="Aptos Display"/>
        <family val="2"/>
        <scheme val="major"/>
      </rPr>
      <t>: Growth exceeds the geometry of the predefined and designed margins, including the whole plant with roots growing outside, as well as branches, stems, and leaves growing beyond the established boundaries.</t>
    </r>
  </si>
  <si>
    <r>
      <rPr>
        <b/>
        <sz val="12"/>
        <color theme="1"/>
        <rFont val="Aptos Display"/>
        <family val="2"/>
        <scheme val="major"/>
      </rPr>
      <t>4. Overgrown built artifacts</t>
    </r>
    <r>
      <rPr>
        <sz val="12"/>
        <color theme="1"/>
        <rFont val="Aptos Display"/>
        <family val="2"/>
        <scheme val="major"/>
      </rPr>
      <t>: Overgrown constructions and /or with signs of abandonment, such as ruins, walls. The predesigned limits of the site do not count as built artifacts.</t>
    </r>
  </si>
  <si>
    <r>
      <rPr>
        <b/>
        <sz val="12"/>
        <rFont val="Aptos Display"/>
        <family val="2"/>
        <scheme val="major"/>
      </rPr>
      <t>5. Overall perception of complexity, disorder, chaos, mystery</t>
    </r>
    <r>
      <rPr>
        <sz val="12"/>
        <rFont val="Aptos Display"/>
        <family val="2"/>
        <scheme val="major"/>
      </rPr>
      <t xml:space="preserve"> (hidden views, impression of many layers): Referring to the first impression of the site. </t>
    </r>
  </si>
  <si>
    <r>
      <rPr>
        <b/>
        <sz val="12"/>
        <color theme="1"/>
        <rFont val="Aptos Display"/>
        <family val="2"/>
        <scheme val="major"/>
      </rPr>
      <t>2. Materials or structures limiting free growth in the soil</t>
    </r>
    <r>
      <rPr>
        <sz val="12"/>
        <color theme="1"/>
        <rFont val="Aptos Display"/>
        <family val="2"/>
        <scheme val="major"/>
      </rPr>
      <t>: Presence of types of soil cover or structures preventing spontaneous plant growt</t>
    </r>
    <r>
      <rPr>
        <sz val="12"/>
        <rFont val="Aptos Display"/>
        <family val="2"/>
        <scheme val="major"/>
      </rPr>
      <t>h (cement, mulch, metal grids etc.)</t>
    </r>
    <r>
      <rPr>
        <sz val="12"/>
        <color theme="1"/>
        <rFont val="Aptos Display"/>
        <family val="2"/>
        <scheme val="major"/>
      </rPr>
      <t xml:space="preserve">
(0 : presence of structures; 1 absence)</t>
    </r>
  </si>
  <si>
    <r>
      <rPr>
        <b/>
        <sz val="12"/>
        <color theme="1"/>
        <rFont val="Aptos Display"/>
        <family val="2"/>
        <scheme val="major"/>
      </rPr>
      <t>3. Signs of pruning</t>
    </r>
    <r>
      <rPr>
        <sz val="12"/>
        <color theme="1"/>
        <rFont val="Aptos Display"/>
        <family val="2"/>
        <scheme val="major"/>
      </rPr>
      <t xml:space="preserve">: Such as trimmed forms of shrubs, evenly cut lawns, </t>
    </r>
    <r>
      <rPr>
        <sz val="12"/>
        <rFont val="Aptos Display"/>
        <family val="2"/>
        <scheme val="major"/>
      </rPr>
      <t>weeding</t>
    </r>
    <r>
      <rPr>
        <sz val="12"/>
        <color theme="1"/>
        <rFont val="Aptos Display"/>
        <family val="2"/>
        <scheme val="major"/>
      </rPr>
      <t>, from a general perspective. 
 (0: evidence of pruning; 1: no evidence)</t>
    </r>
  </si>
  <si>
    <r>
      <rPr>
        <b/>
        <sz val="12"/>
        <color theme="1"/>
        <rFont val="Aptos Display"/>
        <family val="2"/>
        <scheme val="major"/>
      </rPr>
      <t>5. Elements and structures</t>
    </r>
    <r>
      <rPr>
        <sz val="12"/>
        <color theme="1"/>
        <rFont val="Aptos Display"/>
        <family val="2"/>
        <scheme val="major"/>
      </rPr>
      <t>: Presence of signs, fences, bounding lines and margins, planting containers/boxes, structures to protect trees, grids, trash cans, lights, sport facilities, benches etc. In the vegetated area. 
(0 = presence of sturctures; 1 = absence of structures)</t>
    </r>
  </si>
  <si>
    <r>
      <rPr>
        <b/>
        <sz val="12"/>
        <color theme="1"/>
        <rFont val="Aptos Display"/>
        <family val="2"/>
        <scheme val="major"/>
      </rPr>
      <t>6. Planting interventions</t>
    </r>
    <r>
      <rPr>
        <sz val="12"/>
        <color theme="1"/>
        <rFont val="Aptos Display"/>
        <family val="2"/>
        <scheme val="major"/>
      </rPr>
      <t xml:space="preserve">: Clearly recognisable planted species such as (cactus, bamboos or seeded lawns), also </t>
    </r>
    <r>
      <rPr>
        <sz val="12"/>
        <color theme="5"/>
        <rFont val="Aptos Display"/>
        <family val="2"/>
        <scheme val="major"/>
      </rPr>
      <t>considering trees</t>
    </r>
    <r>
      <rPr>
        <sz val="12"/>
        <color theme="1"/>
        <rFont val="Aptos Display"/>
        <family val="2"/>
        <scheme val="major"/>
      </rPr>
      <t>. 
(0: evidence of planting; 1: absence of planting = spontaneous vegetation)</t>
    </r>
  </si>
  <si>
    <r>
      <rPr>
        <b/>
        <sz val="12"/>
        <rFont val="Aptos Display"/>
        <family val="2"/>
        <scheme val="major"/>
      </rPr>
      <t>7. Litter:</t>
    </r>
    <r>
      <rPr>
        <sz val="12"/>
        <rFont val="Aptos Display"/>
        <family val="2"/>
        <scheme val="major"/>
      </rPr>
      <t xml:space="preserve"> Presence of litter. Recognisable from regular visual perspective. (0 =  litter, 1 = no litter)</t>
    </r>
  </si>
  <si>
    <t>Complexity - cumulative</t>
  </si>
  <si>
    <t>Spatial - cumulative</t>
  </si>
  <si>
    <t>Management - cumulative</t>
  </si>
  <si>
    <t>Total wildness - cumulative</t>
  </si>
  <si>
    <t>Complexity</t>
  </si>
  <si>
    <t>Spatial</t>
  </si>
  <si>
    <t>Management</t>
  </si>
  <si>
    <t>Total wildness</t>
  </si>
  <si>
    <t>Issues encountered</t>
  </si>
  <si>
    <r>
      <t xml:space="preserve">Spatial configuration /landscape features
</t>
    </r>
    <r>
      <rPr>
        <u/>
        <sz val="12"/>
        <color theme="1"/>
        <rFont val="Aptos Display"/>
        <family val="2"/>
        <scheme val="major"/>
      </rPr>
      <t>presence: 1; absence: 0</t>
    </r>
  </si>
  <si>
    <r>
      <t xml:space="preserve">Clues of anthropic intervention 
</t>
    </r>
    <r>
      <rPr>
        <u/>
        <sz val="11"/>
        <color theme="1"/>
        <rFont val="Aptos Display"/>
        <family val="2"/>
        <scheme val="major"/>
      </rPr>
      <t>*presence: 0; absence: 1</t>
    </r>
  </si>
  <si>
    <t xml:space="preserve">Arrondissement </t>
  </si>
  <si>
    <t>Coordonées</t>
  </si>
  <si>
    <t>"Quantity" : 0 = very few plants or many versy little plant ; 1 = medium or large number / size of plants</t>
  </si>
  <si>
    <t>Private areas</t>
  </si>
  <si>
    <t>0 = grey ; 1 = vegetation spontannée - non intentionel ; 2 = vegetated areas</t>
  </si>
  <si>
    <t>Side</t>
  </si>
  <si>
    <t>Date</t>
  </si>
  <si>
    <t>Comments</t>
  </si>
  <si>
    <t>Ivry</t>
  </si>
  <si>
    <t>48.80875, 2.3893</t>
  </si>
  <si>
    <t>Even</t>
  </si>
  <si>
    <t>August 2022</t>
  </si>
  <si>
    <t>48.81793, 2.37384</t>
  </si>
  <si>
    <t>October 2025</t>
  </si>
  <si>
    <t>48.81623, 2.36802</t>
  </si>
  <si>
    <t>Odd</t>
  </si>
  <si>
    <t>48.81353, 2.40827</t>
  </si>
  <si>
    <t>/</t>
  </si>
  <si>
    <t>fun fact : there are many wild Ailanthus altissima ( a tree considered as invasive in France)</t>
  </si>
  <si>
    <t>48.80725, 2.37184</t>
  </si>
  <si>
    <t>July 2025</t>
  </si>
  <si>
    <t>48.8185, 2.39553</t>
  </si>
  <si>
    <t>March 2023</t>
  </si>
  <si>
    <t>48.82242, 2.39246</t>
  </si>
  <si>
    <t>48.80835, 2.38366</t>
  </si>
  <si>
    <t>48.80315, 2.39366</t>
  </si>
  <si>
    <t>48.80892, 2.37373</t>
  </si>
  <si>
    <t>48.81641, 2.38003</t>
  </si>
  <si>
    <t>48.82118, 2.37906</t>
  </si>
  <si>
    <t>Spontanneous and planted</t>
  </si>
  <si>
    <t>48.80265, 2.39627</t>
  </si>
  <si>
    <t>48.82075, 2.39542</t>
  </si>
  <si>
    <t>Seine</t>
  </si>
  <si>
    <t>October 2024</t>
  </si>
  <si>
    <t>On each side, a vegetated area, but one is taken care of and not really the other (seine)</t>
  </si>
  <si>
    <t>48.81674, 2.38563</t>
  </si>
  <si>
    <t>48.80515, 2.38316</t>
  </si>
  <si>
    <t>48.82147, 2.39405</t>
  </si>
  <si>
    <t>48.81535, 2.40915</t>
  </si>
  <si>
    <t>Habitations</t>
  </si>
  <si>
    <t>Ailanthus altissima</t>
  </si>
  <si>
    <t>48.8112, 2.38404</t>
  </si>
  <si>
    <t>48.81939, 2.37371</t>
  </si>
  <si>
    <t>48.80982, 2.38741</t>
  </si>
  <si>
    <t>48.8179, 2.39399</t>
  </si>
  <si>
    <t>48.81864, 2.3988</t>
  </si>
  <si>
    <t>48.80493, 2.37032</t>
  </si>
  <si>
    <t>48.80776, 2.37456</t>
  </si>
  <si>
    <t>(1)</t>
  </si>
  <si>
    <t>48.81962, 2.39797</t>
  </si>
  <si>
    <t>48.81455, 2.39996</t>
  </si>
  <si>
    <t>48.81421, 2.37564</t>
  </si>
  <si>
    <t>Uneven terrain also maybe ? seems not flat, but pretty smooth so...</t>
  </si>
  <si>
    <t>48.81229, 2.38644</t>
  </si>
  <si>
    <t>19e</t>
  </si>
  <si>
    <t>48.87498, 2.38588</t>
  </si>
  <si>
    <t>(Even)</t>
  </si>
  <si>
    <t>48.87539, 2.38725</t>
  </si>
  <si>
    <t>PAS SUR MAPS</t>
  </si>
  <si>
    <t>48.89055, 2.38671</t>
  </si>
  <si>
    <t>(Odd)</t>
  </si>
  <si>
    <t>48.87647, 2.38708</t>
  </si>
  <si>
    <t>48.87679, 2.38535</t>
  </si>
  <si>
    <t>48.87737, 2.38683</t>
  </si>
  <si>
    <t>48.87811, 2.38777</t>
  </si>
  <si>
    <t>November 2022</t>
  </si>
  <si>
    <t>48.87823, 2.38613</t>
  </si>
  <si>
    <t>48.87939, 2.38529</t>
  </si>
  <si>
    <t>48.8795, 2.38782</t>
  </si>
  <si>
    <t>48.88, 2.39007</t>
  </si>
  <si>
    <t>48.87988, 2.39167</t>
  </si>
  <si>
    <t>48.88072, 2.39276</t>
  </si>
  <si>
    <t>48.88147, 2.39359</t>
  </si>
  <si>
    <t>48.88211, 2.3926</t>
  </si>
  <si>
    <t>48.88299, 2.39316</t>
  </si>
  <si>
    <t>48.88383, 2.39478</t>
  </si>
  <si>
    <t>48.88451, 2.39577</t>
  </si>
  <si>
    <t>48.88549, 2.39554</t>
  </si>
  <si>
    <t>48.88493, 2.39386</t>
  </si>
  <si>
    <t>48.88568, 2.38995</t>
  </si>
  <si>
    <t>48.89808, 2.38228</t>
  </si>
  <si>
    <t>48.87612, 2.38361</t>
  </si>
  <si>
    <t>48.88919, 2.3785</t>
  </si>
  <si>
    <t>48.87727, 2.3924</t>
  </si>
  <si>
    <t>48.90077, 2.38712</t>
  </si>
  <si>
    <t xml:space="preserve">Area under construction, looks abandoned , very accidented ground </t>
  </si>
  <si>
    <t>48.88012, 2.3985</t>
  </si>
  <si>
    <t>48.89002, 2.39686</t>
  </si>
  <si>
    <t>On the side of the point, almost nothing. But across the road, there's a "terre-plein" that is mowed, with trees. Because it is not a "walkable" street, I counted the side with almost nothing.</t>
  </si>
  <si>
    <t>48.8759, 2.37281</t>
  </si>
  <si>
    <t>Grand boulevard, avec un terre-plein piétion au centre, ce que je vais prendre puisque qu'il y a une zone amménagée</t>
  </si>
  <si>
    <t>48.8838, 2.36893</t>
  </si>
  <si>
    <t>48.88599, 2.3981</t>
  </si>
  <si>
    <t>June 2024</t>
  </si>
  <si>
    <t>Point au centre d'uncarrefour, choisit arbitrairement la route allant vers le Sud</t>
  </si>
  <si>
    <t>48.88268, 2.3901</t>
  </si>
  <si>
    <t>48.87804, 2.40557</t>
  </si>
  <si>
    <t>Des parcs entretenus sur les côtés de la petite route</t>
  </si>
  <si>
    <t>48.89728, 2.39237</t>
  </si>
  <si>
    <t>48.88939, 2.39882</t>
  </si>
  <si>
    <t xml:space="preserve">Only grown trees. The most recent street view is from march, avec there's no flowers, fruit of leaves. But if we look at june, the trees are flowering. Wildness is so variable between the seasons, if we score it at different places, different times, the statistics will be flawed. </t>
  </si>
  <si>
    <t>July 2022</t>
  </si>
  <si>
    <t>48.88572, 2.37713</t>
  </si>
  <si>
    <t>April 2025</t>
  </si>
  <si>
    <t>48.88886, 2.36774</t>
  </si>
  <si>
    <t>Neuilly</t>
  </si>
  <si>
    <t>48.87554, 2.2497</t>
  </si>
  <si>
    <t>April 2022</t>
  </si>
  <si>
    <t>48.88255, 2.27728</t>
  </si>
  <si>
    <t>48.8856, 2.25705</t>
  </si>
  <si>
    <t>48.88781, 2.26185</t>
  </si>
  <si>
    <t>June 2014</t>
  </si>
  <si>
    <t>48.88028, 2.27627</t>
  </si>
  <si>
    <t>48.88053, 2.25867</t>
  </si>
  <si>
    <t>48.89029, 2.26096</t>
  </si>
  <si>
    <t>July 2024</t>
  </si>
  <si>
    <t>48.89634, 2.27307</t>
  </si>
  <si>
    <t>April 2023</t>
  </si>
  <si>
    <t>48.88245, 2.26877</t>
  </si>
  <si>
    <t>48.88944, 2.26187</t>
  </si>
  <si>
    <t>48.88133, 2.25475</t>
  </si>
  <si>
    <t>48.88411, 2.25753</t>
  </si>
  <si>
    <t>November 2024</t>
  </si>
  <si>
    <t>48.88229, 2.25879</t>
  </si>
  <si>
    <t>48.88113, 2.27339</t>
  </si>
  <si>
    <t>Just trees.</t>
  </si>
  <si>
    <t>48.88, 2.2508</t>
  </si>
  <si>
    <t>May 2022</t>
  </si>
  <si>
    <t>48.89397, 2.27274</t>
  </si>
  <si>
    <t>48.88903, 2.26323</t>
  </si>
  <si>
    <t>48.88675, 2.27342</t>
  </si>
  <si>
    <t>48.89082, 2.27847</t>
  </si>
  <si>
    <t>September 2017</t>
  </si>
  <si>
    <t>48.88044, 2.26174</t>
  </si>
  <si>
    <t>48.88379, 2.27168</t>
  </si>
  <si>
    <t>48.87595, 2.2479</t>
  </si>
  <si>
    <t>48.88606, 2.2685</t>
  </si>
  <si>
    <t>48.88005, 2.256</t>
  </si>
  <si>
    <t>Grey but decomposing leaves on the ground from private trees...</t>
  </si>
  <si>
    <t>48.89224, 2.26873</t>
  </si>
  <si>
    <t>7e</t>
  </si>
  <si>
    <t>48.8489, 2.30459</t>
  </si>
  <si>
    <t>May 2023</t>
  </si>
  <si>
    <t>48.8576, 2.30496</t>
  </si>
  <si>
    <t>48.85143, 2.3138</t>
  </si>
  <si>
    <t>April 2024</t>
  </si>
  <si>
    <t>Along a parc</t>
  </si>
  <si>
    <t>48.84929, 2.31909</t>
  </si>
  <si>
    <t>48.85878, 2.30344</t>
  </si>
  <si>
    <t>48.85627, 2.30508</t>
  </si>
  <si>
    <t>48.85575, 2.31666</t>
  </si>
  <si>
    <t>48.85041, 2.31423</t>
  </si>
  <si>
    <t>Vegetated areas but also a lot of spontaneous vegetation ! So there are the advantages of spontaneous vegetation as well, like saying unplanted species</t>
  </si>
  <si>
    <t>48.85007, 2.31233</t>
  </si>
  <si>
    <t>June 2022</t>
  </si>
  <si>
    <t>48.85345, 2.31937</t>
  </si>
  <si>
    <t>48.85052, 2.31954</t>
  </si>
  <si>
    <t>48.858, 2.32263</t>
  </si>
  <si>
    <t>48.85384, 2.31211</t>
  </si>
  <si>
    <t>48.86062, 2.32512</t>
  </si>
  <si>
    <t>48.86239, 2.30095</t>
  </si>
  <si>
    <t>48.84871, 2.30883</t>
  </si>
  <si>
    <t>48.85385, 2.31036</t>
  </si>
  <si>
    <t>Il y a un terre-plein, mais non piéton… Je vais ne pas le compter, puisque c'est un cas assez particulier, plus à destination des.. Voitures ? De toute facon, il y a aussi un espace un peu végétaliser du côté piétion</t>
  </si>
  <si>
    <t>48.85407, 2.30701</t>
  </si>
  <si>
    <t>May 2019</t>
  </si>
  <si>
    <t>48.858, 2.3199</t>
  </si>
  <si>
    <t>September 2025</t>
  </si>
  <si>
    <t>48.85798, 2.31521</t>
  </si>
  <si>
    <t>48.85307, 2.30936</t>
  </si>
  <si>
    <t>48.85859, 2.30032</t>
  </si>
  <si>
    <t>Encore une fois, terre plein non piéton, donc prend le trottoir</t>
  </si>
  <si>
    <t>48.85651, 2.30105</t>
  </si>
  <si>
    <t>both</t>
  </si>
  <si>
    <t>May 2024</t>
  </si>
  <si>
    <t>48.86135, 2.32022</t>
  </si>
  <si>
    <t>48.86041, 2.30275</t>
  </si>
  <si>
    <t>Terre-plein semblant non piéton (marche difficile), mais avec des bancs… donc ok</t>
  </si>
  <si>
    <t>48.85511, 2.296</t>
  </si>
  <si>
    <t>48.85626, 2.29503</t>
  </si>
  <si>
    <t>48.85067, 2.32519</t>
  </si>
  <si>
    <t>GRIS mais proche d'un parc, très proche donc de quelques végétation spontannée</t>
  </si>
  <si>
    <t>48.86009, 2.29727</t>
  </si>
  <si>
    <t>une seule petite plante spontannée</t>
  </si>
  <si>
    <t>48.85736, 2.31821</t>
  </si>
  <si>
    <t>48.85021, 2.31656</t>
  </si>
  <si>
    <t>48.85234, 2.32667</t>
  </si>
  <si>
    <t>Miidle of the road</t>
  </si>
  <si>
    <r>
      <rPr>
        <b/>
        <sz val="12"/>
        <color rgb="FF000000"/>
        <rFont val="Aptos Display"/>
        <scheme val="major"/>
      </rPr>
      <t>3.</t>
    </r>
    <r>
      <rPr>
        <sz val="12"/>
        <color rgb="FF000000"/>
        <rFont val="Aptos Display"/>
        <scheme val="major"/>
      </rPr>
      <t xml:space="preserve"> </t>
    </r>
    <r>
      <rPr>
        <b/>
        <sz val="12"/>
        <color rgb="FF000000"/>
        <rFont val="Aptos Display"/>
        <scheme val="major"/>
      </rPr>
      <t>Margins and edges</t>
    </r>
    <r>
      <rPr>
        <sz val="12"/>
        <color rgb="FF000000"/>
        <rFont val="Aptos Display"/>
        <scheme val="major"/>
      </rPr>
      <t>: Growth exceeds the geometry of the predefined and designed margins, including the whole plant with roots growing outside, as well as branches, stems, and leaves growing beyond the established boundaries.</t>
    </r>
  </si>
  <si>
    <r>
      <rPr>
        <b/>
        <sz val="12"/>
        <color rgb="FF000000"/>
        <rFont val="Aptos Display"/>
        <scheme val="major"/>
      </rPr>
      <t>5. Elements and structures</t>
    </r>
    <r>
      <rPr>
        <sz val="12"/>
        <color rgb="FF000000"/>
        <rFont val="Aptos Display"/>
        <scheme val="major"/>
      </rPr>
      <t>: Presence of signs, fences, bounding lines and margins, planting containers/boxes, structures to protect trees, grids, trash cans, lights, sport facilities, benches etc. In the vegetated area. 
(0 = presence of sturctures; 1 = absence of structures)</t>
    </r>
  </si>
  <si>
    <t>5e</t>
  </si>
  <si>
    <t>48.85243, 2.3461</t>
  </si>
  <si>
    <t>May 2025</t>
  </si>
  <si>
    <t>48.84765, 2.34103</t>
  </si>
  <si>
    <r>
      <rPr>
        <sz val="11"/>
        <color rgb="FF000000"/>
        <rFont val="Aptos Narrow"/>
        <scheme val="minor"/>
      </rPr>
      <t xml:space="preserve">Vegetalised roof, trees and spontaneous small plants, so estimating the planting intervention was quite complicated. We're not considering trees, but the roof was defenety planted, </t>
    </r>
    <r>
      <rPr>
        <i/>
        <sz val="11"/>
        <color rgb="FF000000"/>
        <rFont val="Aptos Narrow"/>
        <scheme val="minor"/>
      </rPr>
      <t>but</t>
    </r>
    <r>
      <rPr>
        <sz val="11"/>
        <color rgb="FF000000"/>
        <rFont val="Aptos Narrow"/>
        <scheme val="minor"/>
      </rPr>
      <t xml:space="preserve"> there's also wild spontaneous flowers and seedlings, so I still put 1.</t>
    </r>
  </si>
  <si>
    <t>48.84036, 2.35055</t>
  </si>
  <si>
    <t>Grids around the tree base in almost every tree, overgrown (cant see on photo)</t>
  </si>
  <si>
    <t>48.83832, 2.34562</t>
  </si>
  <si>
    <t>48.84553, 2.34582</t>
  </si>
  <si>
    <t>April 2021</t>
  </si>
  <si>
    <t>48.83786, 2.35531</t>
  </si>
  <si>
    <t>48.83866, 2.35782</t>
  </si>
  <si>
    <t>July 2020</t>
  </si>
  <si>
    <t>48.84201, 2.34782</t>
  </si>
  <si>
    <t>48.8406, 2.34081</t>
  </si>
  <si>
    <t>Small pavemeny as irregular topography, with large spaces between one another</t>
  </si>
  <si>
    <t>48.84979, 2.34862</t>
  </si>
  <si>
    <t>October 2022</t>
  </si>
  <si>
    <t>48.84241, 2.34977</t>
  </si>
  <si>
    <t>48.84289, 2.36398</t>
  </si>
  <si>
    <t>48.83806, 2.34395</t>
  </si>
  <si>
    <t>The plants themselves are not obviously planted, but the context make them obviusly planted</t>
  </si>
  <si>
    <t>48.84954, 2.35209</t>
  </si>
  <si>
    <t xml:space="preserve">Odd </t>
  </si>
  <si>
    <t>48.84782, 2.35143</t>
  </si>
  <si>
    <t>Same for the planted vegetation</t>
  </si>
  <si>
    <t>48.84457, 2.34721</t>
  </si>
  <si>
    <t>48.84226, 2.34131</t>
  </si>
  <si>
    <t>48.83864, 2.35059</t>
  </si>
  <si>
    <t>48.84657, 2.34899</t>
  </si>
  <si>
    <t>48.8484, 2.35024</t>
  </si>
  <si>
    <t>max value</t>
  </si>
  <si>
    <t>104 rue buzenval</t>
  </si>
  <si>
    <t>CHOIX des côtés de rues !</t>
  </si>
  <si>
    <t>Vert = la plus grande wildness ; Jaune = les deux sont identiques</t>
  </si>
  <si>
    <t>IN NUMBERS</t>
  </si>
  <si>
    <t>Roads of interest</t>
  </si>
  <si>
    <t>Roads scored</t>
  </si>
  <si>
    <t>Difference</t>
  </si>
  <si>
    <t>In "trame verte"</t>
  </si>
  <si>
    <t>Total</t>
  </si>
  <si>
    <t>% of vegetated</t>
  </si>
  <si>
    <t>Vegetated ("2")</t>
  </si>
  <si>
    <t>% of vegetated done</t>
  </si>
  <si>
    <t>19th</t>
  </si>
  <si>
    <t>7th</t>
  </si>
  <si>
    <t>IN 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</si>
</sst>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b/>
      <sz val="11"/>
      <color theme="1"/>
      <name val="Aptos Narrow"/>
      <family val="2"/>
      <scheme val="minor"/>
    </font>
    <font>
      <sz val="11"/>
      <name val="Aptos Narrow"/>
      <family val="2"/>
      <scheme val="minor"/>
    </font>
    <font>
      <sz val="9"/>
      <color theme="1"/>
      <name val="Aptos Display"/>
      <family val="2"/>
      <scheme val="major"/>
    </font>
    <font>
      <b/>
      <sz val="9"/>
      <color rgb="FFFF0000"/>
      <name val="Aptos Display"/>
      <family val="2"/>
      <scheme val="major"/>
    </font>
    <font>
      <sz val="9"/>
      <color rgb="FFFF0000"/>
      <name val="Aptos Display"/>
      <family val="2"/>
      <scheme val="major"/>
    </font>
    <font>
      <sz val="11"/>
      <color theme="1"/>
      <name val="Aptos Display"/>
      <family val="2"/>
      <scheme val="major"/>
    </font>
    <font>
      <sz val="11"/>
      <name val="Aptos Display"/>
      <family val="2"/>
      <scheme val="major"/>
    </font>
    <font>
      <b/>
      <sz val="11"/>
      <name val="Aptos Display"/>
      <family val="2"/>
      <scheme val="major"/>
    </font>
    <font>
      <sz val="12"/>
      <color theme="1"/>
      <name val="Aptos Narrow"/>
      <family val="2"/>
      <scheme val="minor"/>
    </font>
    <font>
      <b/>
      <sz val="12"/>
      <color theme="1"/>
      <name val="Aptos Narrow"/>
      <family val="2"/>
      <scheme val="minor"/>
    </font>
    <font>
      <b/>
      <sz val="12"/>
      <color theme="1"/>
      <name val="Aptos Display"/>
      <family val="2"/>
      <scheme val="major"/>
    </font>
    <font>
      <sz val="12"/>
      <color theme="1"/>
      <name val="Aptos Display"/>
      <family val="2"/>
      <scheme val="major"/>
    </font>
    <font>
      <sz val="12"/>
      <name val="Aptos Display"/>
      <family val="2"/>
      <scheme val="major"/>
    </font>
    <font>
      <b/>
      <sz val="12"/>
      <name val="Aptos Display"/>
      <family val="2"/>
      <scheme val="major"/>
    </font>
    <font>
      <sz val="12"/>
      <color theme="5"/>
      <name val="Aptos Display"/>
      <family val="2"/>
      <scheme val="major"/>
    </font>
    <font>
      <b/>
      <sz val="12"/>
      <color theme="1"/>
      <name val="Aptos Display"/>
      <scheme val="major"/>
    </font>
    <font>
      <b/>
      <sz val="11"/>
      <color theme="1"/>
      <name val="Aptos Display"/>
      <family val="2"/>
      <scheme val="major"/>
    </font>
    <font>
      <u/>
      <sz val="11"/>
      <color theme="1"/>
      <name val="Aptos Display"/>
      <family val="2"/>
      <scheme val="major"/>
    </font>
    <font>
      <u/>
      <sz val="12"/>
      <color theme="1"/>
      <name val="Aptos Display"/>
      <family val="2"/>
      <scheme val="major"/>
    </font>
    <font>
      <sz val="8"/>
      <name val="Aptos Narrow"/>
      <family val="2"/>
      <scheme val="minor"/>
    </font>
    <font>
      <b/>
      <sz val="12"/>
      <color rgb="FF000000"/>
      <name val="Aptos Display"/>
      <scheme val="major"/>
    </font>
    <font>
      <sz val="12"/>
      <color rgb="FF000000"/>
      <name val="Aptos Display"/>
      <scheme val="major"/>
    </font>
    <font>
      <sz val="11"/>
      <color rgb="FF000000"/>
      <name val="Aptos Narrow"/>
      <scheme val="minor"/>
    </font>
    <font>
      <i/>
      <sz val="11"/>
      <color rgb="FF000000"/>
      <name val="Aptos Narrow"/>
      <scheme val="minor"/>
    </font>
    <font>
      <u/>
      <sz val="12"/>
      <color rgb="FF000000"/>
      <name val="Aptos Display"/>
      <scheme val="major"/>
    </font>
    <font>
      <b/>
      <sz val="11"/>
      <color rgb="FF000000"/>
      <name val="Aptos Display"/>
      <scheme val="major"/>
    </font>
    <font>
      <u/>
      <sz val="11"/>
      <color rgb="FF000000"/>
      <name val="Aptos Display"/>
      <scheme val="major"/>
    </font>
    <font>
      <b/>
      <sz val="11"/>
      <color rgb="FF000000"/>
      <name val="Aptos Narrow"/>
      <family val="2"/>
    </font>
  </fonts>
  <fills count="10">
    <fill>
      <patternFill patternType="none"/>
    </fill>
    <fill>
      <patternFill patternType="gray125"/>
    </fill>
    <fill>
      <patternFill patternType="solid">
        <fgColor rgb="FF6699FF"/>
        <bgColor indexed="64"/>
      </patternFill>
    </fill>
    <fill>
      <patternFill patternType="solid">
        <fgColor rgb="FF669900"/>
        <bgColor indexed="64"/>
      </patternFill>
    </fill>
    <fill>
      <patternFill patternType="solid">
        <fgColor rgb="FFCCCC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4FFCD"/>
        <bgColor indexed="64"/>
      </patternFill>
    </fill>
    <fill>
      <patternFill patternType="solid">
        <fgColor theme="2"/>
        <bgColor indexed="64"/>
      </patternFill>
    </fill>
    <fill>
      <patternFill patternType="solid">
        <fgColor theme="7" tint="0.79998168889431442"/>
        <bgColor indexed="64"/>
      </patternFill>
    </fill>
  </fills>
  <borders count="5">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8">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top"/>
    </xf>
    <xf numFmtId="0" fontId="10" fillId="0" borderId="0" xfId="0" applyFont="1" applyAlignment="1">
      <alignment vertical="top"/>
    </xf>
    <xf numFmtId="0" fontId="11" fillId="0" borderId="1" xfId="0" applyFont="1" applyBorder="1" applyAlignment="1">
      <alignment vertical="top" wrapText="1"/>
    </xf>
    <xf numFmtId="0" fontId="12" fillId="2" borderId="1" xfId="0" applyFont="1" applyFill="1" applyBorder="1" applyAlignment="1">
      <alignment vertical="top" wrapText="1"/>
    </xf>
    <xf numFmtId="0" fontId="12" fillId="3" borderId="1" xfId="0" applyFont="1" applyFill="1" applyBorder="1" applyAlignment="1">
      <alignment vertical="top" wrapText="1"/>
    </xf>
    <xf numFmtId="0" fontId="12" fillId="4" borderId="1" xfId="0" applyFont="1" applyFill="1" applyBorder="1" applyAlignment="1">
      <alignment vertical="top" wrapText="1"/>
    </xf>
    <xf numFmtId="0" fontId="13" fillId="0" borderId="1" xfId="0" applyFont="1" applyBorder="1" applyAlignment="1">
      <alignment vertical="top" wrapText="1"/>
    </xf>
    <xf numFmtId="0" fontId="12" fillId="0" borderId="2" xfId="0" applyFont="1" applyBorder="1" applyAlignment="1">
      <alignment vertical="top" wrapText="1"/>
    </xf>
    <xf numFmtId="0" fontId="13" fillId="0" borderId="2" xfId="0" applyFont="1" applyBorder="1" applyAlignment="1">
      <alignment vertical="top" wrapText="1"/>
    </xf>
    <xf numFmtId="0" fontId="16" fillId="0" borderId="2" xfId="0" applyFont="1" applyBorder="1" applyAlignment="1">
      <alignment vertical="top" wrapText="1"/>
    </xf>
    <xf numFmtId="0" fontId="17" fillId="0" borderId="0" xfId="0" applyFont="1" applyAlignment="1">
      <alignment vertical="center" wrapText="1"/>
    </xf>
    <xf numFmtId="0" fontId="11" fillId="0" borderId="2" xfId="0" applyFont="1" applyBorder="1" applyAlignment="1">
      <alignment vertical="top" wrapText="1"/>
    </xf>
    <xf numFmtId="0" fontId="1" fillId="0" borderId="0" xfId="0" applyFont="1" applyAlignment="1">
      <alignment horizontal="center" vertical="center"/>
    </xf>
    <xf numFmtId="0" fontId="1" fillId="6" borderId="0" xfId="0" applyFont="1" applyFill="1" applyAlignment="1">
      <alignment vertical="center"/>
    </xf>
    <xf numFmtId="0" fontId="0" fillId="6" borderId="0" xfId="0" applyFill="1" applyAlignment="1">
      <alignment vertical="center"/>
    </xf>
    <xf numFmtId="0" fontId="1" fillId="6" borderId="0" xfId="0" applyFont="1" applyFill="1" applyAlignment="1">
      <alignment horizontal="center" vertical="center"/>
    </xf>
    <xf numFmtId="0" fontId="2" fillId="6" borderId="0" xfId="0" applyFont="1" applyFill="1" applyAlignment="1">
      <alignment vertical="center"/>
    </xf>
    <xf numFmtId="0" fontId="3" fillId="6" borderId="0" xfId="0" applyFont="1" applyFill="1" applyAlignment="1">
      <alignment vertical="center" wrapText="1"/>
    </xf>
    <xf numFmtId="0" fontId="5" fillId="6" borderId="0" xfId="0" applyFont="1" applyFill="1" applyAlignment="1">
      <alignment vertical="center" wrapText="1"/>
    </xf>
    <xf numFmtId="0" fontId="4" fillId="6" borderId="0" xfId="0" applyFont="1" applyFill="1" applyAlignment="1">
      <alignment vertical="center" wrapText="1"/>
    </xf>
    <xf numFmtId="0" fontId="1" fillId="7" borderId="0" xfId="0" applyFont="1" applyFill="1" applyAlignment="1">
      <alignment horizontal="center" vertical="center"/>
    </xf>
    <xf numFmtId="0" fontId="1" fillId="7" borderId="0" xfId="0" applyFont="1" applyFill="1" applyAlignment="1">
      <alignment vertical="center"/>
    </xf>
    <xf numFmtId="0" fontId="0" fillId="7" borderId="0" xfId="0" applyFill="1" applyAlignment="1">
      <alignment vertical="center"/>
    </xf>
    <xf numFmtId="0" fontId="2" fillId="7" borderId="0" xfId="0" applyFont="1" applyFill="1" applyAlignment="1">
      <alignment vertical="center"/>
    </xf>
    <xf numFmtId="0" fontId="3" fillId="7" borderId="0" xfId="0" applyFont="1" applyFill="1" applyAlignment="1">
      <alignment vertical="center" wrapText="1"/>
    </xf>
    <xf numFmtId="0" fontId="1" fillId="8" borderId="0" xfId="0" applyFont="1" applyFill="1" applyAlignment="1">
      <alignment horizontal="center" vertical="center"/>
    </xf>
    <xf numFmtId="0" fontId="1" fillId="8" borderId="0" xfId="0" applyFont="1" applyFill="1" applyAlignment="1">
      <alignment vertical="center"/>
    </xf>
    <xf numFmtId="0" fontId="0" fillId="8" borderId="0" xfId="0" applyFill="1" applyAlignment="1">
      <alignment vertical="center"/>
    </xf>
    <xf numFmtId="0" fontId="2" fillId="8" borderId="0" xfId="0" applyFont="1" applyFill="1" applyAlignment="1">
      <alignment vertical="center"/>
    </xf>
    <xf numFmtId="0" fontId="11" fillId="0" borderId="2" xfId="0" applyFont="1" applyBorder="1" applyAlignment="1">
      <alignment horizontal="center" vertical="top" wrapText="1"/>
    </xf>
    <xf numFmtId="0" fontId="1" fillId="5" borderId="0" xfId="0" applyFont="1" applyFill="1" applyAlignment="1">
      <alignment horizontal="center" vertical="center"/>
    </xf>
    <xf numFmtId="0" fontId="10" fillId="0" borderId="0" xfId="0" applyFont="1" applyAlignment="1">
      <alignment horizontal="center" vertical="top"/>
    </xf>
    <xf numFmtId="0" fontId="1" fillId="9" borderId="0" xfId="0" applyFont="1" applyFill="1" applyAlignment="1">
      <alignment vertical="center"/>
    </xf>
    <xf numFmtId="0" fontId="1" fillId="9" borderId="0" xfId="0" applyFont="1" applyFill="1" applyAlignment="1">
      <alignment horizontal="center" vertical="center"/>
    </xf>
    <xf numFmtId="0" fontId="0" fillId="9" borderId="0" xfId="0" applyFill="1" applyAlignment="1">
      <alignment vertical="center"/>
    </xf>
    <xf numFmtId="0" fontId="2" fillId="9" borderId="0" xfId="0" applyFont="1" applyFill="1" applyAlignment="1">
      <alignment vertical="center"/>
    </xf>
    <xf numFmtId="0" fontId="0" fillId="5" borderId="0" xfId="0" applyFill="1" applyAlignment="1">
      <alignment vertical="center"/>
    </xf>
    <xf numFmtId="0" fontId="1" fillId="5" borderId="0" xfId="0" applyFont="1" applyFill="1" applyAlignment="1">
      <alignment vertical="center"/>
    </xf>
    <xf numFmtId="0" fontId="2" fillId="5" borderId="0" xfId="0" applyFont="1" applyFill="1" applyAlignment="1">
      <alignment vertical="center"/>
    </xf>
    <xf numFmtId="0" fontId="3" fillId="5" borderId="0" xfId="0" applyFont="1" applyFill="1" applyAlignment="1">
      <alignment vertical="center" wrapText="1"/>
    </xf>
    <xf numFmtId="0" fontId="3" fillId="8" borderId="0" xfId="0" applyFont="1" applyFill="1" applyAlignment="1">
      <alignment vertical="center" wrapText="1"/>
    </xf>
    <xf numFmtId="17" fontId="1" fillId="0" borderId="0" xfId="0" applyNumberFormat="1" applyFont="1" applyAlignment="1">
      <alignment vertical="center"/>
    </xf>
    <xf numFmtId="0" fontId="0" fillId="0" borderId="4" xfId="0" applyBorder="1"/>
    <xf numFmtId="0" fontId="22" fillId="0" borderId="2" xfId="0" applyFont="1" applyBorder="1" applyAlignment="1">
      <alignment vertical="top" wrapText="1"/>
    </xf>
    <xf numFmtId="0" fontId="23" fillId="0" borderId="0" xfId="0" applyFont="1" applyAlignment="1">
      <alignment vertical="center"/>
    </xf>
    <xf numFmtId="49" fontId="1" fillId="0" borderId="0" xfId="0" applyNumberFormat="1" applyFont="1" applyAlignment="1">
      <alignment vertical="center"/>
    </xf>
    <xf numFmtId="49" fontId="11" fillId="0" borderId="2" xfId="0" applyNumberFormat="1" applyFont="1" applyBorder="1" applyAlignment="1">
      <alignment horizontal="center" vertical="top" wrapText="1"/>
    </xf>
    <xf numFmtId="49" fontId="1" fillId="8" borderId="0" xfId="0" applyNumberFormat="1" applyFont="1" applyFill="1" applyAlignment="1">
      <alignment vertical="center"/>
    </xf>
    <xf numFmtId="0" fontId="11" fillId="4" borderId="0" xfId="0" applyFont="1" applyFill="1" applyAlignment="1">
      <alignment vertical="center" wrapText="1"/>
    </xf>
    <xf numFmtId="0" fontId="17" fillId="4" borderId="0" xfId="0" applyFont="1" applyFill="1" applyAlignment="1">
      <alignment vertical="center" wrapText="1"/>
    </xf>
    <xf numFmtId="0" fontId="11" fillId="3" borderId="1" xfId="0" applyFont="1" applyFill="1" applyBorder="1" applyAlignment="1">
      <alignment vertical="center" wrapText="1"/>
    </xf>
    <xf numFmtId="0" fontId="17" fillId="3" borderId="0" xfId="0" applyFont="1" applyFill="1" applyAlignment="1">
      <alignment vertical="center" wrapText="1"/>
    </xf>
    <xf numFmtId="0" fontId="17" fillId="3" borderId="3" xfId="0" applyFont="1" applyFill="1" applyBorder="1" applyAlignment="1">
      <alignment vertical="center" wrapText="1"/>
    </xf>
    <xf numFmtId="0" fontId="17" fillId="2" borderId="0" xfId="0" applyFont="1" applyFill="1" applyAlignment="1">
      <alignment vertical="center" wrapText="1"/>
    </xf>
    <xf numFmtId="49" fontId="1" fillId="0" borderId="0" xfId="0" applyNumberFormat="1" applyFont="1" applyAlignment="1">
      <alignment horizontal="center" vertical="center"/>
    </xf>
    <xf numFmtId="0" fontId="28" fillId="0" borderId="0" xfId="0" applyFont="1"/>
    <xf numFmtId="0" fontId="11" fillId="4" borderId="0" xfId="0" applyFont="1" applyFill="1" applyAlignment="1">
      <alignment vertical="center" wrapText="1"/>
    </xf>
    <xf numFmtId="0" fontId="17" fillId="4" borderId="0" xfId="0" applyFont="1" applyFill="1" applyAlignment="1">
      <alignment vertical="center" wrapText="1"/>
    </xf>
    <xf numFmtId="0" fontId="11" fillId="3" borderId="1" xfId="0" applyFont="1" applyFill="1" applyBorder="1" applyAlignment="1">
      <alignment vertical="center" wrapText="1"/>
    </xf>
    <xf numFmtId="0" fontId="17" fillId="3" borderId="0" xfId="0" applyFont="1" applyFill="1" applyAlignment="1">
      <alignment vertical="center" wrapText="1"/>
    </xf>
    <xf numFmtId="0" fontId="17" fillId="3" borderId="3" xfId="0" applyFont="1" applyFill="1" applyBorder="1" applyAlignment="1">
      <alignment vertical="center" wrapText="1"/>
    </xf>
    <xf numFmtId="0" fontId="17" fillId="2" borderId="0" xfId="0" applyFont="1" applyFill="1" applyAlignment="1">
      <alignment vertical="center" wrapText="1"/>
    </xf>
    <xf numFmtId="0" fontId="21" fillId="3" borderId="1" xfId="0" applyFont="1" applyFill="1" applyBorder="1" applyAlignment="1">
      <alignment vertical="center" wrapText="1"/>
    </xf>
    <xf numFmtId="0" fontId="26" fillId="2" borderId="0" xfId="0" applyFont="1" applyFill="1" applyAlignment="1">
      <alignment vertical="center" wrapText="1"/>
    </xf>
    <xf numFmtId="0" fontId="1" fillId="0" borderId="0" xfId="0" applyFont="1" applyAlignment="1">
      <alignment horizontal="center" vertical="center"/>
    </xf>
    <xf numFmtId="0" fontId="10" fillId="0" borderId="0" xfId="0" applyFont="1" applyAlignment="1">
      <alignment horizontal="center" vertical="center"/>
    </xf>
    <xf numFmtId="0" fontId="1" fillId="5" borderId="0" xfId="0" applyFont="1" applyFill="1" applyAlignment="1">
      <alignment horizontal="center" vertic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colors>
    <mruColors>
      <color rgb="FFF4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OLINARO Katia" id="{F04A907E-403A-4862-944E-79CDB71A4028}" userId="S::katia.molinaro@edu.mnhn.fr::fe9ca291-eab1-4f5c-af3d-2bed9d79f20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3" dT="2026-02-19T15:35:20.33" personId="{F04A907E-403A-4862-944E-79CDB71A4028}" id="{3498F244-240F-4E7B-9832-4E0952049C31}">
    <text>What if there’s little to no plants ?</text>
  </threadedComment>
  <threadedComment ref="W3" dT="2026-02-19T15:37:35.39" personId="{F04A907E-403A-4862-944E-79CDB71A4028}" id="{03A46F81-C8E8-4E38-AE03-4BEF5781A420}">
    <text>No vegetated areas ?</text>
  </threadedComment>
  <threadedComment ref="O7" dT="2026-02-19T16:14:11.95" personId="{F04A907E-403A-4862-944E-79CDB71A4028}" id="{30AA7D94-C4A9-45A0-B1E0-9AD08D9D215F}">
    <text>Supposé oui car prise de vu en aout, pas de fleurs mais diverses plantes à fleurs adultes</text>
  </threadedComment>
  <threadedComment ref="U9" dT="2026-02-20T09:13:45.77" personId="{F04A907E-403A-4862-944E-79CDB71A4028}" id="{D0588535-2CC0-4167-8265-6B24617258FB}">
    <text>Present at the base of some trees, absent on others</text>
  </threadedComment>
  <threadedComment ref="R19" dT="2026-02-20T10:03:02.66" personId="{F04A907E-403A-4862-944E-79CDB71A4028}" id="{F3DDC207-B6ED-44FF-9373-C80640668AA4}">
    <text>For grass growing on the margin of the street, we can put 0 because there’s no predefined areas, or 1 becase it grows even if there’s no defined aereas… but a 1 might enhance the score too much for what it actually is</text>
  </threadedComment>
  <threadedComment ref="I23" dT="2026-02-23T14:29:58.04" personId="{F04A907E-403A-4862-944E-79CDB71A4028}" id="{2C5653AC-D4E6-4B3F-BDE2-B3E8BDFAEDE9}">
    <text>There are only trees, but it gives much more the impression of «there’s a big nature present here» than for the very small plants getting a high wildness score because theyre not planted, not cut, different stages (but still very small)…</text>
  </threadedComment>
</ThreadedComments>
</file>

<file path=xl/threadedComments/threadedComment2.xml><?xml version="1.0" encoding="utf-8"?>
<ThreadedComments xmlns="http://schemas.microsoft.com/office/spreadsheetml/2018/threadedcomments" xmlns:x="http://schemas.openxmlformats.org/spreadsheetml/2006/main">
  <threadedComment ref="S6" dT="2026-02-19T15:35:20.33" personId="{F04A907E-403A-4862-944E-79CDB71A4028}" id="{7B69DE9A-1F64-4C03-A39F-E1C55F874FA0}">
    <text>What if there’s little to no plants ?</text>
  </threadedComment>
  <threadedComment ref="T6" dT="2026-02-19T15:37:35.39" personId="{F04A907E-403A-4862-944E-79CDB71A4028}" id="{98A41B36-01E5-48D1-84BA-E924A69E03F5}">
    <text>No vegetated areas ?</text>
  </threadedComment>
  <threadedComment ref="B8" dT="2026-02-19T15:44:58.75" personId="{F04A907E-403A-4862-944E-79CDB71A4028}" id="{77954CA5-6442-4A88-AD09-59AEAF65F9AB}">
    <text>Voie privé !!!</text>
  </threadedComment>
  <threadedComment ref="U11" dT="2026-02-19T15:52:12.60" personId="{F04A907E-403A-4862-944E-79CDB71A4028}" id="{539BBCC8-4AFD-411F-BE91-D154F2D9C454}">
    <text>0 because 0 plants, either planted or spontaneous</text>
  </threadedComment>
  <threadedComment ref="L13" dT="2026-02-19T16:14:11.95" personId="{F04A907E-403A-4862-944E-79CDB71A4028}" id="{642CCC8C-9442-464C-95F0-F442A67049D7}">
    <text>Supposé oui car prise de vu en aout, pas de fleurs mais diverses plantes à fleurs adultes</text>
  </threadedComment>
  <threadedComment ref="R16" dT="2026-02-20T09:13:45.77" personId="{F04A907E-403A-4862-944E-79CDB71A4028}" id="{00F5B029-387D-4A14-8DC8-3C52855C72A2}">
    <text>Present at the base of some trees, absent on others</text>
  </threadedComment>
  <threadedComment ref="R17" dT="2026-02-20T09:13:45.77" personId="{F04A907E-403A-4862-944E-79CDB71A4028}" id="{A6FDC690-9342-451F-846B-22947C0934F3}">
    <text>Present at the base of some trees, absent on others</text>
  </threadedComment>
  <threadedComment ref="K19" dT="2026-02-20T09:29:36.24" personId="{F04A907E-403A-4862-944E-79CDB71A4028}" id="{93D9B761-389E-4FBB-86D2-E2AA68158B98}">
    <text>0 from the side walk BUT 1 from the private garden that overgrows on the sidewalk</text>
  </threadedComment>
  <threadedComment ref="R19" dT="2026-02-20T09:30:54.17" personId="{F04A907E-403A-4862-944E-79CDB71A4028}" id="{BA43EC70-2567-4E4B-A6DD-1C1A44DE83DB}">
    <text>Fence, but delimitating a private vegetated area</text>
  </threadedComment>
  <threadedComment ref="O20" dT="2026-02-20T10:03:02.66" personId="{F04A907E-403A-4862-944E-79CDB71A4028}" id="{929C3F53-3D1C-4244-BA02-9F258C3B3B2D}">
    <text>For grass growing on the margin of the street, we can put 0 because there’s no predefined areas, or 1 becase it grows even if there’s no defined aereas… but a 1 might enhance the score too much for what it actually is</text>
  </threadedComment>
  <threadedComment ref="F21" dT="2026-02-20T10:12:43.03" personId="{F04A907E-403A-4862-944E-79CDB71A4028}" id="{53E21F35-50BC-494A-95DA-3A6A43DDBB84}">
    <text>I put almost all  bcse there are just some dead leaves</text>
  </threadedComment>
  <threadedComment ref="M31" dT="2026-02-20T14:38:09.14" personId="{F04A907E-403A-4862-944E-79CDB71A4028}" id="{E8911D4D-53B9-4E0C-B157-64E8B2EFB193}">
    <text xml:space="preserve">Does sort of gravel counts ?
</text>
  </threadedComment>
  <threadedComment ref="C36" dT="2026-02-20T15:01:44.97" personId="{F04A907E-403A-4862-944E-79CDB71A4028}" id="{7E21CD7E-26A3-403D-8BE0-38053B5B69D5}">
    <text>Almost entierly grey</text>
  </threadedComment>
  <threadedComment ref="S50" dT="2026-02-19T15:35:20.33" personId="{F04A907E-403A-4862-944E-79CDB71A4028}" id="{3EBB078D-0646-402F-A052-A1A22D221B70}">
    <text>What if there’s little to no plants ?</text>
  </threadedComment>
  <threadedComment ref="T50" dT="2026-02-19T15:37:35.39" personId="{F04A907E-403A-4862-944E-79CDB71A4028}" id="{5430012D-BA29-4DE4-9F8A-0F66A3D45B60}">
    <text>No vegetated areas ?</text>
  </threadedComment>
  <threadedComment ref="B52" dT="2026-02-19T15:44:58.75" personId="{F04A907E-403A-4862-944E-79CDB71A4028}" id="{62BF1684-B9D0-473C-8798-C0D710C80479}">
    <text>Voie privé !!!</text>
  </threadedComment>
  <threadedComment ref="U55" dT="2026-02-19T15:52:12.60" personId="{F04A907E-403A-4862-944E-79CDB71A4028}" id="{88D4FCF0-F219-40BE-A81F-F7699607CB79}">
    <text>0 because 0 plants, either planted or spontaneous</text>
  </threadedComment>
  <threadedComment ref="L57" dT="2026-02-19T16:14:11.95" personId="{F04A907E-403A-4862-944E-79CDB71A4028}" id="{353F370F-4F16-4F3E-A3DC-1E94515EAB99}">
    <text>Supposé oui car prise de vu en aout, pas de fleurs mais diverses plantes à fleurs adultes</text>
  </threadedComment>
  <threadedComment ref="R60" dT="2026-02-20T09:13:45.77" personId="{F04A907E-403A-4862-944E-79CDB71A4028}" id="{85F31E1A-132C-444F-8C67-63F745EBC86D}">
    <text>Present at the base of some trees, absent on others</text>
  </threadedComment>
  <threadedComment ref="R61" dT="2026-02-20T09:13:45.77" personId="{F04A907E-403A-4862-944E-79CDB71A4028}" id="{37038C80-9749-45B4-9447-1E3AB976C69F}">
    <text>Present at the base of some trees, absent on others</text>
  </threadedComment>
  <threadedComment ref="K63" dT="2026-02-20T09:29:36.24" personId="{F04A907E-403A-4862-944E-79CDB71A4028}" id="{BBBEC9BC-8323-4AAC-BB5B-9161C800060E}">
    <text>0 from the side walk BUT 1 from the private garden that overgrows on the sidewalk</text>
  </threadedComment>
  <threadedComment ref="R63" dT="2026-02-20T09:30:54.17" personId="{F04A907E-403A-4862-944E-79CDB71A4028}" id="{15565765-3794-4973-95DC-DB377B7820BB}">
    <text>Fence, but delimitating a private vegetated area</text>
  </threadedComment>
  <threadedComment ref="O64" dT="2026-02-20T10:03:02.66" personId="{F04A907E-403A-4862-944E-79CDB71A4028}" id="{E895C3D4-D59B-455F-9B87-0D48FB719D83}">
    <text>For grass growing on the margin of the street, we can put 0 because there’s no predefined areas, or 1 becase it grows even if there’s no defined aereas… but a 1 might enhance the score too much for what it actually is</text>
  </threadedComment>
  <threadedComment ref="F65" dT="2026-02-20T10:12:43.03" personId="{F04A907E-403A-4862-944E-79CDB71A4028}" id="{11AD0E91-621B-4B46-909B-B6D31E2E1B7A}">
    <text>I put almost all  bcse there are just some dead leaves</text>
  </threadedComment>
  <threadedComment ref="M75" dT="2026-02-20T14:38:09.14" personId="{F04A907E-403A-4862-944E-79CDB71A4028}" id="{A7C2540F-5079-49F0-BD81-78B851122630}">
    <text xml:space="preserve">Does sort of gravel counts ?
</text>
  </threadedComment>
  <threadedComment ref="C80" dT="2026-02-20T15:01:44.97" personId="{F04A907E-403A-4862-944E-79CDB71A4028}" id="{C59FC1ED-D61E-4E9E-9DBC-DAC311276A52}">
    <text>Almost entierly grey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1A350-369C-4CD1-90CB-A8B3D6530F04}">
  <dimension ref="A1:AC18"/>
  <sheetViews>
    <sheetView zoomScale="55" zoomScaleNormal="55" zoomScalePageLayoutView="39" workbookViewId="0">
      <selection activeCell="N10" sqref="N10"/>
    </sheetView>
  </sheetViews>
  <sheetFormatPr defaultColWidth="8.6640625" defaultRowHeight="14.4" x14ac:dyDescent="0.3"/>
  <cols>
    <col min="1" max="1" width="19.6640625" style="1" bestFit="1" customWidth="1"/>
    <col min="2" max="2" width="23.5546875" style="3" customWidth="1"/>
    <col min="3" max="3" width="11.6640625" style="1" customWidth="1"/>
    <col min="4" max="11" width="18.44140625" style="1" customWidth="1"/>
    <col min="12" max="12" width="24.6640625" style="1" customWidth="1"/>
    <col min="13" max="18" width="18.44140625" style="1" customWidth="1"/>
    <col min="19" max="19" width="18.44140625" style="2" customWidth="1"/>
    <col min="20" max="27" width="15.6640625" style="1" customWidth="1"/>
    <col min="28" max="28" width="8.6640625" style="1" customWidth="1"/>
    <col min="29" max="29" width="29.6640625" style="1" customWidth="1"/>
    <col min="30" max="16384" width="8.6640625" style="1"/>
  </cols>
  <sheetData>
    <row r="1" spans="1:29" ht="71.7" customHeight="1" x14ac:dyDescent="0.3">
      <c r="D1" s="66" t="s">
        <v>0</v>
      </c>
      <c r="E1" s="67"/>
      <c r="F1" s="67"/>
      <c r="G1" s="67"/>
      <c r="H1" s="67"/>
      <c r="I1" s="67"/>
      <c r="J1" s="72" t="s">
        <v>1</v>
      </c>
      <c r="K1" s="69"/>
      <c r="L1" s="69"/>
      <c r="M1" s="69"/>
      <c r="N1" s="70"/>
      <c r="O1" s="73" t="s">
        <v>2</v>
      </c>
      <c r="P1" s="71"/>
      <c r="Q1" s="71"/>
      <c r="R1" s="71"/>
      <c r="S1" s="71"/>
      <c r="T1" s="20"/>
      <c r="U1" s="20"/>
    </row>
    <row r="2" spans="1:29" s="10" customFormat="1" ht="265.2" x14ac:dyDescent="0.3">
      <c r="A2" s="17" t="s">
        <v>3</v>
      </c>
      <c r="B2" s="19" t="s">
        <v>4</v>
      </c>
      <c r="C2" s="19" t="s">
        <v>5</v>
      </c>
      <c r="D2" s="17" t="s">
        <v>6</v>
      </c>
      <c r="E2" s="17" t="s">
        <v>7</v>
      </c>
      <c r="F2" s="17" t="s">
        <v>8</v>
      </c>
      <c r="G2" s="17" t="s">
        <v>9</v>
      </c>
      <c r="H2" s="17" t="s">
        <v>10</v>
      </c>
      <c r="I2" s="17" t="s">
        <v>11</v>
      </c>
      <c r="J2" s="17" t="s">
        <v>12</v>
      </c>
      <c r="K2" s="18" t="s">
        <v>13</v>
      </c>
      <c r="L2" s="17" t="s">
        <v>14</v>
      </c>
      <c r="M2" s="17" t="s">
        <v>15</v>
      </c>
      <c r="N2" s="18" t="s">
        <v>16</v>
      </c>
      <c r="O2" s="17" t="s">
        <v>17</v>
      </c>
      <c r="P2" s="17" t="s">
        <v>18</v>
      </c>
      <c r="Q2" s="17" t="s">
        <v>19</v>
      </c>
      <c r="R2" s="17" t="s">
        <v>20</v>
      </c>
      <c r="S2" s="16" t="s">
        <v>21</v>
      </c>
      <c r="T2" s="15" t="s">
        <v>22</v>
      </c>
      <c r="U2" s="14" t="s">
        <v>23</v>
      </c>
      <c r="V2" s="13" t="s">
        <v>24</v>
      </c>
      <c r="W2" s="12" t="s">
        <v>25</v>
      </c>
      <c r="X2" s="15" t="s">
        <v>26</v>
      </c>
      <c r="Y2" s="14" t="s">
        <v>27</v>
      </c>
      <c r="Z2" s="13" t="s">
        <v>28</v>
      </c>
      <c r="AA2" s="12" t="s">
        <v>29</v>
      </c>
      <c r="AC2" s="11" t="s">
        <v>30</v>
      </c>
    </row>
    <row r="3" spans="1:29" x14ac:dyDescent="0.3">
      <c r="A3" s="7"/>
      <c r="B3" s="9"/>
      <c r="C3" s="8"/>
      <c r="D3" s="7"/>
      <c r="E3" s="7"/>
      <c r="F3" s="7"/>
      <c r="G3" s="7"/>
      <c r="H3" s="7"/>
      <c r="I3" s="7"/>
      <c r="J3" s="7"/>
      <c r="K3" s="7"/>
      <c r="L3" s="7"/>
      <c r="M3" s="7"/>
      <c r="N3" s="7"/>
      <c r="O3" s="7"/>
      <c r="P3" s="7"/>
      <c r="Q3" s="7"/>
      <c r="R3" s="7"/>
      <c r="S3" s="7"/>
      <c r="T3" s="1">
        <f t="shared" ref="T3:T18" si="0">SUM(D3:I3)</f>
        <v>0</v>
      </c>
      <c r="U3" s="1">
        <f t="shared" ref="U3:U18" si="1">SUM(J3:N3)</f>
        <v>0</v>
      </c>
      <c r="V3" s="1">
        <f t="shared" ref="V3:V18" si="2">SUM(O3:S3)</f>
        <v>0</v>
      </c>
      <c r="W3" s="1">
        <f t="shared" ref="W3:W18" si="3">SUM(T3:V3)</f>
        <v>0</v>
      </c>
      <c r="X3" s="1">
        <f>T3/7*5</f>
        <v>0</v>
      </c>
      <c r="Y3" s="1">
        <f t="shared" ref="Y3:Y18" si="4">U3/5*5</f>
        <v>0</v>
      </c>
      <c r="Z3" s="1">
        <f xml:space="preserve"> V3/7*5</f>
        <v>0</v>
      </c>
      <c r="AA3" s="1">
        <f t="shared" ref="AA3:AA18" si="5">SUM(X3:Z3)/3</f>
        <v>0</v>
      </c>
    </row>
    <row r="4" spans="1:29" x14ac:dyDescent="0.3">
      <c r="J4" s="2"/>
      <c r="T4" s="1">
        <f t="shared" si="0"/>
        <v>0</v>
      </c>
      <c r="U4" s="1">
        <f t="shared" si="1"/>
        <v>0</v>
      </c>
      <c r="V4" s="1">
        <f t="shared" si="2"/>
        <v>0</v>
      </c>
      <c r="W4" s="1">
        <f t="shared" si="3"/>
        <v>0</v>
      </c>
      <c r="X4" s="1">
        <f>T4/6*5</f>
        <v>0</v>
      </c>
      <c r="Y4" s="1">
        <f t="shared" si="4"/>
        <v>0</v>
      </c>
      <c r="Z4" s="1">
        <f xml:space="preserve"> V4/5*5</f>
        <v>0</v>
      </c>
      <c r="AA4" s="1">
        <f t="shared" si="5"/>
        <v>0</v>
      </c>
    </row>
    <row r="5" spans="1:29" x14ac:dyDescent="0.3">
      <c r="H5" s="2"/>
      <c r="L5" s="2"/>
      <c r="T5" s="1">
        <f t="shared" si="0"/>
        <v>0</v>
      </c>
      <c r="U5" s="1">
        <f t="shared" si="1"/>
        <v>0</v>
      </c>
      <c r="V5" s="1">
        <f t="shared" si="2"/>
        <v>0</v>
      </c>
      <c r="W5" s="1">
        <f t="shared" si="3"/>
        <v>0</v>
      </c>
      <c r="X5" s="1">
        <f t="shared" ref="X5:X18" si="6">T5/7*5</f>
        <v>0</v>
      </c>
      <c r="Y5" s="1">
        <f t="shared" si="4"/>
        <v>0</v>
      </c>
      <c r="Z5" s="1">
        <f t="shared" ref="Z5:Z18" si="7" xml:space="preserve"> V5/7*5</f>
        <v>0</v>
      </c>
      <c r="AA5" s="1">
        <f t="shared" si="5"/>
        <v>0</v>
      </c>
      <c r="AC5" s="4"/>
    </row>
    <row r="6" spans="1:29" x14ac:dyDescent="0.3">
      <c r="L6" s="2"/>
      <c r="R6" s="2"/>
      <c r="T6" s="1">
        <f t="shared" si="0"/>
        <v>0</v>
      </c>
      <c r="U6" s="1">
        <f t="shared" si="1"/>
        <v>0</v>
      </c>
      <c r="V6" s="1">
        <f t="shared" si="2"/>
        <v>0</v>
      </c>
      <c r="W6" s="1">
        <f t="shared" si="3"/>
        <v>0</v>
      </c>
      <c r="X6" s="1">
        <f t="shared" si="6"/>
        <v>0</v>
      </c>
      <c r="Y6" s="1">
        <f t="shared" si="4"/>
        <v>0</v>
      </c>
      <c r="Z6" s="1">
        <f t="shared" si="7"/>
        <v>0</v>
      </c>
      <c r="AA6" s="1">
        <f t="shared" si="5"/>
        <v>0</v>
      </c>
      <c r="AC6" s="4"/>
    </row>
    <row r="7" spans="1:29" x14ac:dyDescent="0.3">
      <c r="D7" s="2"/>
      <c r="H7" s="2"/>
      <c r="K7" s="2"/>
      <c r="O7" s="2"/>
      <c r="Q7" s="2"/>
      <c r="R7" s="2"/>
      <c r="T7" s="1">
        <f t="shared" si="0"/>
        <v>0</v>
      </c>
      <c r="U7" s="1">
        <f t="shared" si="1"/>
        <v>0</v>
      </c>
      <c r="V7" s="1">
        <f t="shared" si="2"/>
        <v>0</v>
      </c>
      <c r="W7" s="1">
        <f t="shared" si="3"/>
        <v>0</v>
      </c>
      <c r="X7" s="1">
        <f t="shared" si="6"/>
        <v>0</v>
      </c>
      <c r="Y7" s="1">
        <f t="shared" si="4"/>
        <v>0</v>
      </c>
      <c r="Z7" s="1">
        <f t="shared" si="7"/>
        <v>0</v>
      </c>
      <c r="AA7" s="1">
        <f t="shared" si="5"/>
        <v>0</v>
      </c>
      <c r="AB7" s="4"/>
      <c r="AC7" s="4"/>
    </row>
    <row r="8" spans="1:29" x14ac:dyDescent="0.3">
      <c r="H8" s="2"/>
      <c r="T8" s="1">
        <f t="shared" si="0"/>
        <v>0</v>
      </c>
      <c r="U8" s="1">
        <f t="shared" si="1"/>
        <v>0</v>
      </c>
      <c r="V8" s="1">
        <f t="shared" si="2"/>
        <v>0</v>
      </c>
      <c r="W8" s="1">
        <f t="shared" si="3"/>
        <v>0</v>
      </c>
      <c r="X8" s="1">
        <f t="shared" si="6"/>
        <v>0</v>
      </c>
      <c r="Y8" s="1">
        <f t="shared" si="4"/>
        <v>0</v>
      </c>
      <c r="Z8" s="1">
        <f t="shared" si="7"/>
        <v>0</v>
      </c>
      <c r="AA8" s="1">
        <f t="shared" si="5"/>
        <v>0</v>
      </c>
      <c r="AC8" s="4"/>
    </row>
    <row r="9" spans="1:29" x14ac:dyDescent="0.3">
      <c r="H9" s="2"/>
      <c r="Q9" s="2"/>
      <c r="R9" s="2"/>
      <c r="T9" s="1">
        <f t="shared" si="0"/>
        <v>0</v>
      </c>
      <c r="U9" s="1">
        <f t="shared" si="1"/>
        <v>0</v>
      </c>
      <c r="V9" s="1">
        <f t="shared" si="2"/>
        <v>0</v>
      </c>
      <c r="W9" s="1">
        <f t="shared" si="3"/>
        <v>0</v>
      </c>
      <c r="X9" s="1">
        <f t="shared" si="6"/>
        <v>0</v>
      </c>
      <c r="Y9" s="1">
        <f t="shared" si="4"/>
        <v>0</v>
      </c>
      <c r="Z9" s="1">
        <f t="shared" si="7"/>
        <v>0</v>
      </c>
      <c r="AA9" s="1">
        <f t="shared" si="5"/>
        <v>0</v>
      </c>
      <c r="AC9" s="4"/>
    </row>
    <row r="10" spans="1:29" x14ac:dyDescent="0.3">
      <c r="H10" s="2"/>
      <c r="K10" s="2"/>
      <c r="Q10" s="2"/>
      <c r="R10" s="2"/>
      <c r="T10" s="1">
        <f t="shared" si="0"/>
        <v>0</v>
      </c>
      <c r="U10" s="1">
        <f t="shared" si="1"/>
        <v>0</v>
      </c>
      <c r="V10" s="1">
        <f t="shared" si="2"/>
        <v>0</v>
      </c>
      <c r="W10" s="1">
        <f t="shared" si="3"/>
        <v>0</v>
      </c>
      <c r="X10" s="1">
        <f t="shared" si="6"/>
        <v>0</v>
      </c>
      <c r="Y10" s="1">
        <f t="shared" si="4"/>
        <v>0</v>
      </c>
      <c r="Z10" s="1">
        <f t="shared" si="7"/>
        <v>0</v>
      </c>
      <c r="AA10" s="1">
        <f t="shared" si="5"/>
        <v>0</v>
      </c>
      <c r="AC10" s="6"/>
    </row>
    <row r="11" spans="1:29" x14ac:dyDescent="0.3">
      <c r="H11" s="2"/>
      <c r="K11" s="2"/>
      <c r="Q11" s="2"/>
      <c r="R11" s="2"/>
      <c r="T11" s="1">
        <f t="shared" si="0"/>
        <v>0</v>
      </c>
      <c r="U11" s="1">
        <f t="shared" si="1"/>
        <v>0</v>
      </c>
      <c r="V11" s="1">
        <f t="shared" si="2"/>
        <v>0</v>
      </c>
      <c r="W11" s="1">
        <f t="shared" si="3"/>
        <v>0</v>
      </c>
      <c r="X11" s="1">
        <f t="shared" si="6"/>
        <v>0</v>
      </c>
      <c r="Y11" s="1">
        <f t="shared" si="4"/>
        <v>0</v>
      </c>
      <c r="Z11" s="1">
        <f t="shared" si="7"/>
        <v>0</v>
      </c>
      <c r="AA11" s="1">
        <f t="shared" si="5"/>
        <v>0</v>
      </c>
      <c r="AC11" s="4"/>
    </row>
    <row r="12" spans="1:29" x14ac:dyDescent="0.3">
      <c r="H12" s="2"/>
      <c r="J12" s="2"/>
      <c r="Q12" s="2"/>
      <c r="R12" s="2"/>
      <c r="T12" s="1">
        <f t="shared" si="0"/>
        <v>0</v>
      </c>
      <c r="U12" s="1">
        <f t="shared" si="1"/>
        <v>0</v>
      </c>
      <c r="V12" s="1">
        <f t="shared" si="2"/>
        <v>0</v>
      </c>
      <c r="W12" s="1">
        <f t="shared" si="3"/>
        <v>0</v>
      </c>
      <c r="X12" s="1">
        <f t="shared" si="6"/>
        <v>0</v>
      </c>
      <c r="Y12" s="1">
        <f t="shared" si="4"/>
        <v>0</v>
      </c>
      <c r="Z12" s="1">
        <f t="shared" si="7"/>
        <v>0</v>
      </c>
      <c r="AA12" s="1">
        <f t="shared" si="5"/>
        <v>0</v>
      </c>
      <c r="AC12" s="4"/>
    </row>
    <row r="13" spans="1:29" x14ac:dyDescent="0.3">
      <c r="H13" s="2"/>
      <c r="Q13" s="2"/>
      <c r="R13" s="2"/>
      <c r="T13" s="1">
        <f t="shared" si="0"/>
        <v>0</v>
      </c>
      <c r="U13" s="1">
        <f t="shared" si="1"/>
        <v>0</v>
      </c>
      <c r="V13" s="1">
        <f t="shared" si="2"/>
        <v>0</v>
      </c>
      <c r="W13" s="1">
        <f t="shared" si="3"/>
        <v>0</v>
      </c>
      <c r="X13" s="1">
        <f t="shared" si="6"/>
        <v>0</v>
      </c>
      <c r="Y13" s="1">
        <f t="shared" si="4"/>
        <v>0</v>
      </c>
      <c r="Z13" s="1">
        <f t="shared" si="7"/>
        <v>0</v>
      </c>
      <c r="AA13" s="1">
        <f t="shared" si="5"/>
        <v>0</v>
      </c>
      <c r="AC13" s="4"/>
    </row>
    <row r="14" spans="1:29" x14ac:dyDescent="0.3">
      <c r="H14" s="2"/>
      <c r="Q14" s="2"/>
      <c r="R14" s="2"/>
      <c r="T14" s="1">
        <f t="shared" si="0"/>
        <v>0</v>
      </c>
      <c r="U14" s="1">
        <f t="shared" si="1"/>
        <v>0</v>
      </c>
      <c r="V14" s="1">
        <f t="shared" si="2"/>
        <v>0</v>
      </c>
      <c r="W14" s="1">
        <f t="shared" si="3"/>
        <v>0</v>
      </c>
      <c r="X14" s="1">
        <f t="shared" si="6"/>
        <v>0</v>
      </c>
      <c r="Y14" s="1">
        <f t="shared" si="4"/>
        <v>0</v>
      </c>
      <c r="Z14" s="1">
        <f t="shared" si="7"/>
        <v>0</v>
      </c>
      <c r="AA14" s="1">
        <f t="shared" si="5"/>
        <v>0</v>
      </c>
      <c r="AC14" s="5"/>
    </row>
    <row r="15" spans="1:29" x14ac:dyDescent="0.3">
      <c r="H15" s="2"/>
      <c r="L15" s="2"/>
      <c r="Q15" s="2"/>
      <c r="R15" s="2"/>
      <c r="T15" s="1">
        <f t="shared" si="0"/>
        <v>0</v>
      </c>
      <c r="U15" s="1">
        <f t="shared" si="1"/>
        <v>0</v>
      </c>
      <c r="V15" s="1">
        <f t="shared" si="2"/>
        <v>0</v>
      </c>
      <c r="W15" s="1">
        <f t="shared" si="3"/>
        <v>0</v>
      </c>
      <c r="X15" s="1">
        <f t="shared" si="6"/>
        <v>0</v>
      </c>
      <c r="Y15" s="1">
        <f t="shared" si="4"/>
        <v>0</v>
      </c>
      <c r="Z15" s="1">
        <f t="shared" si="7"/>
        <v>0</v>
      </c>
      <c r="AA15" s="1">
        <f t="shared" si="5"/>
        <v>0</v>
      </c>
      <c r="AC15" s="4"/>
    </row>
    <row r="16" spans="1:29" x14ac:dyDescent="0.3">
      <c r="H16" s="2"/>
      <c r="Q16" s="2"/>
      <c r="R16" s="2"/>
      <c r="T16" s="1">
        <f t="shared" si="0"/>
        <v>0</v>
      </c>
      <c r="U16" s="1">
        <f t="shared" si="1"/>
        <v>0</v>
      </c>
      <c r="V16" s="1">
        <f t="shared" si="2"/>
        <v>0</v>
      </c>
      <c r="W16" s="1">
        <f t="shared" si="3"/>
        <v>0</v>
      </c>
      <c r="X16" s="1">
        <f t="shared" si="6"/>
        <v>0</v>
      </c>
      <c r="Y16" s="1">
        <f t="shared" si="4"/>
        <v>0</v>
      </c>
      <c r="Z16" s="1">
        <f t="shared" si="7"/>
        <v>0</v>
      </c>
      <c r="AA16" s="1">
        <f t="shared" si="5"/>
        <v>0</v>
      </c>
      <c r="AC16" s="4"/>
    </row>
    <row r="17" spans="8:29" x14ac:dyDescent="0.3">
      <c r="H17" s="2"/>
      <c r="K17" s="2"/>
      <c r="L17" s="2"/>
      <c r="O17" s="2"/>
      <c r="Q17" s="2"/>
      <c r="R17" s="2"/>
      <c r="T17" s="1">
        <f t="shared" si="0"/>
        <v>0</v>
      </c>
      <c r="U17" s="1">
        <f t="shared" si="1"/>
        <v>0</v>
      </c>
      <c r="V17" s="1">
        <f t="shared" si="2"/>
        <v>0</v>
      </c>
      <c r="W17" s="1">
        <f t="shared" si="3"/>
        <v>0</v>
      </c>
      <c r="X17" s="1">
        <f t="shared" si="6"/>
        <v>0</v>
      </c>
      <c r="Y17" s="1">
        <f t="shared" si="4"/>
        <v>0</v>
      </c>
      <c r="Z17" s="1">
        <f t="shared" si="7"/>
        <v>0</v>
      </c>
      <c r="AA17" s="1">
        <f t="shared" si="5"/>
        <v>0</v>
      </c>
      <c r="AC17" s="4"/>
    </row>
    <row r="18" spans="8:29" x14ac:dyDescent="0.3">
      <c r="H18" s="2"/>
      <c r="K18" s="2"/>
      <c r="L18" s="2"/>
      <c r="O18" s="2"/>
      <c r="Q18" s="2"/>
      <c r="R18" s="2"/>
      <c r="T18" s="1">
        <f t="shared" si="0"/>
        <v>0</v>
      </c>
      <c r="U18" s="1">
        <f t="shared" si="1"/>
        <v>0</v>
      </c>
      <c r="V18" s="1">
        <f t="shared" si="2"/>
        <v>0</v>
      </c>
      <c r="W18" s="1">
        <f t="shared" si="3"/>
        <v>0</v>
      </c>
      <c r="X18" s="1">
        <f t="shared" si="6"/>
        <v>0</v>
      </c>
      <c r="Y18" s="1">
        <f t="shared" si="4"/>
        <v>0</v>
      </c>
      <c r="Z18" s="1">
        <f t="shared" si="7"/>
        <v>0</v>
      </c>
      <c r="AA18" s="1">
        <f t="shared" si="5"/>
        <v>0</v>
      </c>
    </row>
  </sheetData>
  <mergeCells count="3">
    <mergeCell ref="D1:I1"/>
    <mergeCell ref="J1:N1"/>
    <mergeCell ref="O1:S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2115-7DB6-49D2-9CD2-1CF3AE676148}">
  <dimension ref="A1:AI58"/>
  <sheetViews>
    <sheetView topLeftCell="A2" zoomScale="55" zoomScaleNormal="55" workbookViewId="0">
      <pane ySplit="2" topLeftCell="A4" activePane="bottomLeft" state="frozen"/>
      <selection pane="bottomLeft" activeCell="C12" sqref="C12"/>
    </sheetView>
  </sheetViews>
  <sheetFormatPr defaultColWidth="8.6640625" defaultRowHeight="15" customHeight="1" x14ac:dyDescent="0.3"/>
  <cols>
    <col min="1" max="1" width="19.6640625" style="1" customWidth="1"/>
    <col min="2" max="2" width="31" style="22" customWidth="1"/>
    <col min="3" max="3" width="23.5546875" style="3" customWidth="1"/>
    <col min="4" max="6" width="23.5546875" style="22" customWidth="1"/>
    <col min="7" max="8" width="23.5546875" style="3" customWidth="1"/>
    <col min="9" max="9" width="11.6640625" style="1" customWidth="1"/>
    <col min="10" max="17" width="18.44140625" style="1" customWidth="1"/>
    <col min="18" max="18" width="24.6640625" style="1" customWidth="1"/>
    <col min="19" max="24" width="18.44140625" style="1" customWidth="1"/>
    <col min="25" max="25" width="18.44140625" style="2" customWidth="1"/>
    <col min="26" max="33" width="15.6640625" style="1" customWidth="1"/>
    <col min="34" max="34" width="37.109375" style="1" customWidth="1"/>
    <col min="35" max="35" width="29.6640625" style="1" customWidth="1"/>
    <col min="36" max="16384" width="8.6640625" style="1"/>
  </cols>
  <sheetData>
    <row r="1" spans="1:35" ht="24.75" customHeight="1" x14ac:dyDescent="0.3">
      <c r="J1" s="66" t="s">
        <v>0</v>
      </c>
      <c r="K1" s="67"/>
      <c r="L1" s="67"/>
      <c r="M1" s="67"/>
      <c r="N1" s="67"/>
      <c r="O1" s="67"/>
      <c r="P1" s="68" t="s">
        <v>31</v>
      </c>
      <c r="Q1" s="69"/>
      <c r="R1" s="69"/>
      <c r="S1" s="69"/>
      <c r="T1" s="70"/>
      <c r="U1" s="71" t="s">
        <v>32</v>
      </c>
      <c r="V1" s="71"/>
      <c r="W1" s="71"/>
      <c r="X1" s="71"/>
      <c r="Y1" s="71"/>
      <c r="Z1" s="20"/>
      <c r="AA1" s="20"/>
    </row>
    <row r="2" spans="1:35" ht="23.25" customHeight="1" x14ac:dyDescent="0.3">
      <c r="J2" s="58"/>
      <c r="K2" s="59"/>
      <c r="L2" s="59"/>
      <c r="M2" s="59"/>
      <c r="N2" s="59"/>
      <c r="O2" s="59"/>
      <c r="P2" s="60"/>
      <c r="Q2" s="61"/>
      <c r="R2" s="61"/>
      <c r="S2" s="61"/>
      <c r="T2" s="62"/>
      <c r="U2" s="63"/>
      <c r="V2" s="63"/>
      <c r="W2" s="63"/>
      <c r="X2" s="63"/>
      <c r="Y2" s="63"/>
      <c r="Z2" s="20"/>
      <c r="AA2" s="20"/>
    </row>
    <row r="3" spans="1:35" s="10" customFormat="1" ht="84.75" customHeight="1" x14ac:dyDescent="0.3">
      <c r="A3" s="21" t="s">
        <v>33</v>
      </c>
      <c r="B3" s="39" t="s">
        <v>34</v>
      </c>
      <c r="C3" s="21" t="s">
        <v>4</v>
      </c>
      <c r="D3" s="39" t="s">
        <v>35</v>
      </c>
      <c r="E3" s="39" t="s">
        <v>36</v>
      </c>
      <c r="F3" s="39" t="s">
        <v>37</v>
      </c>
      <c r="G3" s="39" t="s">
        <v>38</v>
      </c>
      <c r="H3" s="39" t="s">
        <v>39</v>
      </c>
      <c r="I3" s="19" t="s">
        <v>5</v>
      </c>
      <c r="J3" s="17" t="s">
        <v>6</v>
      </c>
      <c r="K3" s="17" t="s">
        <v>7</v>
      </c>
      <c r="L3" s="17" t="s">
        <v>8</v>
      </c>
      <c r="M3" s="17" t="s">
        <v>9</v>
      </c>
      <c r="N3" s="17" t="s">
        <v>10</v>
      </c>
      <c r="O3" s="17" t="s">
        <v>11</v>
      </c>
      <c r="P3" s="17" t="s">
        <v>12</v>
      </c>
      <c r="Q3" s="18" t="s">
        <v>13</v>
      </c>
      <c r="R3" s="17" t="s">
        <v>14</v>
      </c>
      <c r="S3" s="17" t="s">
        <v>15</v>
      </c>
      <c r="T3" s="18" t="s">
        <v>16</v>
      </c>
      <c r="U3" s="17" t="s">
        <v>17</v>
      </c>
      <c r="V3" s="17" t="s">
        <v>18</v>
      </c>
      <c r="W3" s="17" t="s">
        <v>19</v>
      </c>
      <c r="X3" s="17" t="s">
        <v>20</v>
      </c>
      <c r="Y3" s="16" t="s">
        <v>21</v>
      </c>
      <c r="Z3" s="15" t="s">
        <v>22</v>
      </c>
      <c r="AA3" s="14" t="s">
        <v>23</v>
      </c>
      <c r="AB3" s="13" t="s">
        <v>24</v>
      </c>
      <c r="AC3" s="12" t="s">
        <v>25</v>
      </c>
      <c r="AD3" s="15" t="s">
        <v>26</v>
      </c>
      <c r="AE3" s="14" t="s">
        <v>27</v>
      </c>
      <c r="AF3" s="13" t="s">
        <v>28</v>
      </c>
      <c r="AG3" s="12" t="s">
        <v>29</v>
      </c>
      <c r="AH3" s="41" t="s">
        <v>40</v>
      </c>
      <c r="AI3" s="11" t="s">
        <v>30</v>
      </c>
    </row>
    <row r="4" spans="1:35" ht="14.4" x14ac:dyDescent="0.3">
      <c r="A4" s="1" t="s">
        <v>41</v>
      </c>
      <c r="B4" s="22" t="s">
        <v>42</v>
      </c>
      <c r="C4" s="22">
        <v>1</v>
      </c>
      <c r="D4" s="22">
        <v>1</v>
      </c>
      <c r="E4" s="22">
        <v>0</v>
      </c>
      <c r="F4" s="22">
        <v>2</v>
      </c>
      <c r="G4" s="3" t="s">
        <v>43</v>
      </c>
      <c r="H4" s="3" t="s">
        <v>44</v>
      </c>
      <c r="I4" s="1">
        <v>3</v>
      </c>
      <c r="J4" s="1">
        <v>1</v>
      </c>
      <c r="K4" s="1">
        <v>1</v>
      </c>
      <c r="L4" s="1">
        <v>1</v>
      </c>
      <c r="M4" s="1">
        <v>1</v>
      </c>
      <c r="N4" s="1">
        <v>1</v>
      </c>
      <c r="O4" s="1">
        <v>1</v>
      </c>
      <c r="P4" s="1">
        <v>0</v>
      </c>
      <c r="Q4" s="1">
        <v>0</v>
      </c>
      <c r="R4" s="1">
        <v>1</v>
      </c>
      <c r="S4" s="1">
        <v>0</v>
      </c>
      <c r="T4" s="1">
        <v>0</v>
      </c>
      <c r="U4" s="1">
        <v>1</v>
      </c>
      <c r="V4" s="1">
        <v>1</v>
      </c>
      <c r="W4" s="1">
        <v>0</v>
      </c>
      <c r="X4" s="1">
        <v>0</v>
      </c>
      <c r="Y4" s="2">
        <v>1</v>
      </c>
      <c r="Z4" s="1">
        <f t="shared" ref="Z4" si="0">SUM(J4:O4)</f>
        <v>6</v>
      </c>
      <c r="AA4" s="1">
        <f t="shared" ref="AA4:AA6" si="1">SUM(P4:T4)</f>
        <v>1</v>
      </c>
      <c r="AB4" s="1">
        <f t="shared" ref="AB4:AB6" si="2">SUM(U4:Y4)</f>
        <v>3</v>
      </c>
      <c r="AC4" s="1">
        <f t="shared" ref="AC4:AC6" si="3">SUM(Z4:AB4)</f>
        <v>10</v>
      </c>
      <c r="AD4" s="1">
        <f t="shared" ref="AD4:AD32" si="4">Z4/6*5</f>
        <v>5</v>
      </c>
      <c r="AE4" s="1">
        <f t="shared" ref="AE4:AE32" si="5">AA4/5*5</f>
        <v>1</v>
      </c>
      <c r="AF4" s="1">
        <f t="shared" ref="AF4:AF32" si="6" xml:space="preserve"> AB4/5*5</f>
        <v>3</v>
      </c>
      <c r="AG4" s="1">
        <f t="shared" ref="AG4:AG32" si="7">SUM(AD4:AF4)/3</f>
        <v>3</v>
      </c>
    </row>
    <row r="5" spans="1:35" ht="14.4" x14ac:dyDescent="0.3">
      <c r="A5" s="1" t="s">
        <v>41</v>
      </c>
      <c r="B5" s="22" t="s">
        <v>45</v>
      </c>
      <c r="C5" s="22">
        <v>2</v>
      </c>
      <c r="D5" s="22">
        <v>1</v>
      </c>
      <c r="E5" s="22">
        <v>0</v>
      </c>
      <c r="F5" s="22">
        <v>2</v>
      </c>
      <c r="G5" s="3" t="s">
        <v>43</v>
      </c>
      <c r="H5" s="3" t="s">
        <v>46</v>
      </c>
      <c r="I5" s="1">
        <v>2</v>
      </c>
      <c r="J5" s="1">
        <v>1</v>
      </c>
      <c r="K5" s="1">
        <v>1</v>
      </c>
      <c r="L5" s="1">
        <v>0</v>
      </c>
      <c r="M5" s="1">
        <v>1</v>
      </c>
      <c r="N5" s="1">
        <v>1</v>
      </c>
      <c r="O5" s="1">
        <v>0</v>
      </c>
      <c r="P5" s="1">
        <v>0</v>
      </c>
      <c r="Q5" s="1">
        <v>0</v>
      </c>
      <c r="R5" s="2">
        <v>0</v>
      </c>
      <c r="S5" s="1">
        <v>0</v>
      </c>
      <c r="T5" s="1">
        <v>0</v>
      </c>
      <c r="U5" s="1">
        <v>0</v>
      </c>
      <c r="V5" s="1">
        <v>0</v>
      </c>
      <c r="W5" s="1">
        <v>0</v>
      </c>
      <c r="X5" s="2">
        <v>0</v>
      </c>
      <c r="Y5" s="2">
        <v>1</v>
      </c>
      <c r="Z5" s="1">
        <f t="shared" ref="Z5:Z6" si="8">SUM(J5:O5)</f>
        <v>4</v>
      </c>
      <c r="AA5" s="1">
        <f t="shared" si="1"/>
        <v>0</v>
      </c>
      <c r="AB5" s="1">
        <f t="shared" si="2"/>
        <v>1</v>
      </c>
      <c r="AC5" s="1">
        <f t="shared" si="3"/>
        <v>5</v>
      </c>
      <c r="AD5" s="1">
        <f t="shared" si="4"/>
        <v>3.333333333333333</v>
      </c>
      <c r="AE5" s="1">
        <f t="shared" si="5"/>
        <v>0</v>
      </c>
      <c r="AF5" s="1">
        <f t="shared" si="6"/>
        <v>1</v>
      </c>
      <c r="AG5" s="1">
        <f t="shared" si="7"/>
        <v>1.4444444444444444</v>
      </c>
      <c r="AI5" s="4"/>
    </row>
    <row r="6" spans="1:35" ht="14.4" x14ac:dyDescent="0.3">
      <c r="A6" s="1" t="s">
        <v>41</v>
      </c>
      <c r="B6" s="22" t="s">
        <v>47</v>
      </c>
      <c r="C6" s="22">
        <v>3</v>
      </c>
      <c r="D6" s="22">
        <v>1</v>
      </c>
      <c r="E6" s="22">
        <v>0</v>
      </c>
      <c r="F6" s="22">
        <v>2</v>
      </c>
      <c r="G6" s="3" t="s">
        <v>48</v>
      </c>
      <c r="H6" s="3" t="s">
        <v>46</v>
      </c>
      <c r="I6" s="1">
        <v>1</v>
      </c>
      <c r="J6" s="1">
        <v>1</v>
      </c>
      <c r="K6" s="1">
        <v>0</v>
      </c>
      <c r="L6" s="1">
        <v>1</v>
      </c>
      <c r="M6" s="1">
        <v>1</v>
      </c>
      <c r="N6" s="1">
        <v>1</v>
      </c>
      <c r="O6" s="1">
        <v>0</v>
      </c>
      <c r="P6" s="1">
        <v>0</v>
      </c>
      <c r="Q6" s="1">
        <v>0</v>
      </c>
      <c r="R6" s="1">
        <v>0</v>
      </c>
      <c r="S6" s="1">
        <v>0</v>
      </c>
      <c r="T6" s="1">
        <v>0</v>
      </c>
      <c r="U6" s="1">
        <v>1</v>
      </c>
      <c r="V6" s="1">
        <v>0</v>
      </c>
      <c r="W6" s="1">
        <v>0</v>
      </c>
      <c r="X6" s="1">
        <v>0</v>
      </c>
      <c r="Y6" s="2">
        <v>0</v>
      </c>
      <c r="Z6" s="1">
        <f t="shared" si="8"/>
        <v>4</v>
      </c>
      <c r="AA6" s="1">
        <f t="shared" si="1"/>
        <v>0</v>
      </c>
      <c r="AB6" s="1">
        <f t="shared" si="2"/>
        <v>1</v>
      </c>
      <c r="AC6" s="1">
        <f t="shared" si="3"/>
        <v>5</v>
      </c>
      <c r="AD6" s="1">
        <f t="shared" si="4"/>
        <v>3.333333333333333</v>
      </c>
      <c r="AE6" s="1">
        <f t="shared" si="5"/>
        <v>0</v>
      </c>
      <c r="AF6" s="1">
        <f t="shared" si="6"/>
        <v>1</v>
      </c>
      <c r="AG6" s="1">
        <f t="shared" si="7"/>
        <v>1.4444444444444444</v>
      </c>
    </row>
    <row r="7" spans="1:35" ht="14.4" x14ac:dyDescent="0.3">
      <c r="A7" s="1" t="s">
        <v>41</v>
      </c>
      <c r="B7" s="22" t="s">
        <v>49</v>
      </c>
      <c r="C7" s="22">
        <v>4</v>
      </c>
      <c r="D7" s="22">
        <v>1</v>
      </c>
      <c r="E7" s="22">
        <v>0</v>
      </c>
      <c r="F7" s="22">
        <v>1</v>
      </c>
      <c r="G7" s="3" t="s">
        <v>50</v>
      </c>
      <c r="H7" s="3" t="s">
        <v>46</v>
      </c>
      <c r="I7" s="1">
        <v>5</v>
      </c>
      <c r="J7" s="1">
        <v>1</v>
      </c>
      <c r="K7" s="1">
        <v>1</v>
      </c>
      <c r="L7" s="1">
        <v>1</v>
      </c>
      <c r="M7" s="1">
        <v>1</v>
      </c>
      <c r="N7" s="2">
        <v>1</v>
      </c>
      <c r="O7" s="1">
        <v>0</v>
      </c>
      <c r="P7" s="1">
        <v>1</v>
      </c>
      <c r="Q7" s="2">
        <v>1</v>
      </c>
      <c r="R7" s="1">
        <v>1</v>
      </c>
      <c r="S7" s="1">
        <v>1</v>
      </c>
      <c r="T7" s="1">
        <v>0</v>
      </c>
      <c r="U7" s="1">
        <v>1</v>
      </c>
      <c r="V7" s="1">
        <v>1</v>
      </c>
      <c r="W7" s="2">
        <v>1</v>
      </c>
      <c r="X7" s="2">
        <v>1</v>
      </c>
      <c r="Y7" s="2">
        <v>0</v>
      </c>
      <c r="Z7" s="1">
        <f t="shared" ref="Z7:Z21" si="9">SUM(J7:O7)</f>
        <v>5</v>
      </c>
      <c r="AA7" s="1">
        <f t="shared" ref="AA7:AA22" si="10">SUM(P7:T7)</f>
        <v>4</v>
      </c>
      <c r="AB7" s="1">
        <f t="shared" ref="AB7:AB32" si="11">SUM(U7:Y7)</f>
        <v>4</v>
      </c>
      <c r="AC7" s="1">
        <f t="shared" ref="AC7:AC32" si="12">SUM(Z7:AB7)</f>
        <v>13</v>
      </c>
      <c r="AD7" s="1">
        <f t="shared" si="4"/>
        <v>4.166666666666667</v>
      </c>
      <c r="AE7" s="1">
        <f t="shared" si="5"/>
        <v>4</v>
      </c>
      <c r="AF7" s="1">
        <f t="shared" si="6"/>
        <v>4</v>
      </c>
      <c r="AG7" s="1">
        <f t="shared" si="7"/>
        <v>4.0555555555555562</v>
      </c>
      <c r="AH7" s="1" t="s">
        <v>51</v>
      </c>
      <c r="AI7" s="6"/>
    </row>
    <row r="8" spans="1:35" ht="14.4" x14ac:dyDescent="0.3">
      <c r="A8" s="1" t="s">
        <v>41</v>
      </c>
      <c r="B8" s="22" t="s">
        <v>52</v>
      </c>
      <c r="C8" s="22">
        <v>5</v>
      </c>
      <c r="D8" s="22">
        <v>1</v>
      </c>
      <c r="E8" s="22">
        <v>0</v>
      </c>
      <c r="F8" s="22">
        <v>1</v>
      </c>
      <c r="G8" s="3" t="s">
        <v>48</v>
      </c>
      <c r="H8" s="3" t="s">
        <v>53</v>
      </c>
      <c r="I8" s="1">
        <v>2</v>
      </c>
      <c r="J8" s="1">
        <v>1</v>
      </c>
      <c r="K8" s="1">
        <v>1</v>
      </c>
      <c r="L8" s="1">
        <v>1</v>
      </c>
      <c r="M8" s="1">
        <v>1</v>
      </c>
      <c r="N8" s="2">
        <v>0</v>
      </c>
      <c r="O8" s="1">
        <v>1</v>
      </c>
      <c r="P8" s="1">
        <v>0</v>
      </c>
      <c r="Q8" s="1">
        <v>1</v>
      </c>
      <c r="R8" s="1">
        <v>1</v>
      </c>
      <c r="S8" s="1">
        <v>0</v>
      </c>
      <c r="T8" s="1">
        <v>0</v>
      </c>
      <c r="U8" s="1">
        <v>1</v>
      </c>
      <c r="V8" s="1">
        <v>1</v>
      </c>
      <c r="W8" s="2">
        <v>0</v>
      </c>
      <c r="X8" s="2">
        <v>1</v>
      </c>
      <c r="Y8" s="2">
        <v>1</v>
      </c>
      <c r="Z8" s="1">
        <f t="shared" si="9"/>
        <v>5</v>
      </c>
      <c r="AA8" s="1">
        <f t="shared" si="10"/>
        <v>2</v>
      </c>
      <c r="AB8" s="1">
        <f t="shared" si="11"/>
        <v>4</v>
      </c>
      <c r="AC8" s="1">
        <f t="shared" si="12"/>
        <v>11</v>
      </c>
      <c r="AD8" s="1">
        <f t="shared" si="4"/>
        <v>4.166666666666667</v>
      </c>
      <c r="AE8" s="1">
        <f t="shared" si="5"/>
        <v>2</v>
      </c>
      <c r="AF8" s="1">
        <f t="shared" si="6"/>
        <v>4</v>
      </c>
      <c r="AG8" s="1">
        <f t="shared" si="7"/>
        <v>3.3888888888888893</v>
      </c>
      <c r="AI8" s="4"/>
    </row>
    <row r="9" spans="1:35" ht="14.4" x14ac:dyDescent="0.3">
      <c r="A9" s="1" t="s">
        <v>41</v>
      </c>
      <c r="B9" s="22" t="s">
        <v>54</v>
      </c>
      <c r="C9" s="22">
        <v>6</v>
      </c>
      <c r="D9" s="22">
        <v>0</v>
      </c>
      <c r="E9" s="22">
        <v>0</v>
      </c>
      <c r="F9" s="22">
        <v>1</v>
      </c>
      <c r="G9" s="3" t="s">
        <v>48</v>
      </c>
      <c r="H9" s="3" t="s">
        <v>55</v>
      </c>
      <c r="I9" s="1">
        <v>1</v>
      </c>
      <c r="J9" s="1">
        <v>1</v>
      </c>
      <c r="K9" s="1">
        <v>0</v>
      </c>
      <c r="L9" s="1">
        <v>0</v>
      </c>
      <c r="M9" s="1">
        <v>1</v>
      </c>
      <c r="N9" s="2">
        <v>1</v>
      </c>
      <c r="O9" s="1">
        <v>0</v>
      </c>
      <c r="P9" s="1">
        <v>1</v>
      </c>
      <c r="Q9" s="1">
        <v>0</v>
      </c>
      <c r="R9" s="1">
        <v>0</v>
      </c>
      <c r="S9" s="1">
        <v>0</v>
      </c>
      <c r="T9" s="1">
        <v>0</v>
      </c>
      <c r="U9" s="1">
        <v>1</v>
      </c>
      <c r="V9" s="1">
        <v>1</v>
      </c>
      <c r="W9" s="2">
        <v>0</v>
      </c>
      <c r="X9" s="2">
        <v>1</v>
      </c>
      <c r="Y9" s="2">
        <v>0</v>
      </c>
      <c r="Z9" s="1">
        <f t="shared" si="9"/>
        <v>3</v>
      </c>
      <c r="AA9" s="1">
        <f t="shared" si="10"/>
        <v>1</v>
      </c>
      <c r="AB9" s="1">
        <f t="shared" si="11"/>
        <v>3</v>
      </c>
      <c r="AC9" s="1">
        <f t="shared" si="12"/>
        <v>7</v>
      </c>
      <c r="AD9" s="1">
        <f t="shared" si="4"/>
        <v>2.5</v>
      </c>
      <c r="AE9" s="1">
        <f t="shared" si="5"/>
        <v>1</v>
      </c>
      <c r="AF9" s="1">
        <f t="shared" si="6"/>
        <v>3</v>
      </c>
      <c r="AG9" s="1">
        <f t="shared" si="7"/>
        <v>2.1666666666666665</v>
      </c>
      <c r="AI9" s="5"/>
    </row>
    <row r="10" spans="1:35" ht="14.4" x14ac:dyDescent="0.3">
      <c r="A10" s="1" t="s">
        <v>41</v>
      </c>
      <c r="B10" s="22" t="s">
        <v>56</v>
      </c>
      <c r="C10" s="22">
        <v>7</v>
      </c>
      <c r="D10" s="22">
        <v>1</v>
      </c>
      <c r="E10" s="22">
        <v>0</v>
      </c>
      <c r="F10" s="22">
        <v>2</v>
      </c>
      <c r="G10" s="3" t="s">
        <v>48</v>
      </c>
      <c r="H10" s="3" t="s">
        <v>46</v>
      </c>
      <c r="I10" s="1">
        <v>2</v>
      </c>
      <c r="J10" s="1">
        <v>1</v>
      </c>
      <c r="K10" s="1">
        <v>0</v>
      </c>
      <c r="L10" s="1">
        <v>1</v>
      </c>
      <c r="M10" s="1">
        <v>0</v>
      </c>
      <c r="N10" s="2">
        <v>1</v>
      </c>
      <c r="O10" s="1">
        <v>0</v>
      </c>
      <c r="P10" s="1">
        <v>0</v>
      </c>
      <c r="Q10" s="1">
        <v>0</v>
      </c>
      <c r="R10" s="1">
        <v>0</v>
      </c>
      <c r="S10" s="1">
        <v>0</v>
      </c>
      <c r="T10" s="1">
        <v>0</v>
      </c>
      <c r="U10" s="1">
        <v>1</v>
      </c>
      <c r="V10" s="1">
        <v>1</v>
      </c>
      <c r="W10" s="2">
        <v>1</v>
      </c>
      <c r="X10" s="2">
        <v>1</v>
      </c>
      <c r="Y10" s="2">
        <v>1</v>
      </c>
      <c r="Z10" s="1">
        <f t="shared" si="9"/>
        <v>3</v>
      </c>
      <c r="AA10" s="1">
        <f t="shared" si="10"/>
        <v>0</v>
      </c>
      <c r="AB10" s="1">
        <f t="shared" si="11"/>
        <v>5</v>
      </c>
      <c r="AC10" s="1">
        <f t="shared" si="12"/>
        <v>8</v>
      </c>
      <c r="AD10" s="1">
        <f t="shared" si="4"/>
        <v>2.5</v>
      </c>
      <c r="AE10" s="1">
        <f t="shared" si="5"/>
        <v>0</v>
      </c>
      <c r="AF10" s="1">
        <f t="shared" si="6"/>
        <v>5</v>
      </c>
      <c r="AG10" s="1">
        <f t="shared" si="7"/>
        <v>2.5</v>
      </c>
      <c r="AI10" s="4"/>
    </row>
    <row r="11" spans="1:35" s="37" customFormat="1" ht="14.4" x14ac:dyDescent="0.3">
      <c r="A11" s="37" t="s">
        <v>41</v>
      </c>
      <c r="B11" s="35" t="s">
        <v>57</v>
      </c>
      <c r="C11" s="35">
        <v>8</v>
      </c>
      <c r="D11" s="35">
        <v>0</v>
      </c>
      <c r="E11" s="35">
        <v>1</v>
      </c>
      <c r="F11" s="35">
        <v>0</v>
      </c>
      <c r="G11" s="36"/>
      <c r="H11" s="36"/>
      <c r="Y11" s="38"/>
      <c r="Z11" s="37">
        <f t="shared" si="9"/>
        <v>0</v>
      </c>
      <c r="AA11" s="37">
        <f t="shared" si="10"/>
        <v>0</v>
      </c>
      <c r="AB11" s="37">
        <f t="shared" si="11"/>
        <v>0</v>
      </c>
      <c r="AC11" s="37">
        <f t="shared" si="12"/>
        <v>0</v>
      </c>
      <c r="AD11" s="37">
        <f t="shared" si="4"/>
        <v>0</v>
      </c>
      <c r="AE11" s="37">
        <f t="shared" si="5"/>
        <v>0</v>
      </c>
      <c r="AF11" s="37">
        <f t="shared" si="6"/>
        <v>0</v>
      </c>
      <c r="AG11" s="37">
        <f t="shared" si="7"/>
        <v>0</v>
      </c>
    </row>
    <row r="12" spans="1:35" ht="14.4" x14ac:dyDescent="0.3">
      <c r="A12" s="1" t="s">
        <v>41</v>
      </c>
      <c r="B12" s="22" t="s">
        <v>58</v>
      </c>
      <c r="C12" s="22">
        <v>9</v>
      </c>
      <c r="D12" s="22">
        <v>1</v>
      </c>
      <c r="E12" s="22">
        <v>0</v>
      </c>
      <c r="F12" s="22">
        <v>1</v>
      </c>
      <c r="G12" s="3" t="s">
        <v>50</v>
      </c>
      <c r="H12" s="3" t="s">
        <v>53</v>
      </c>
      <c r="I12" s="1">
        <v>5</v>
      </c>
      <c r="J12" s="1">
        <v>1</v>
      </c>
      <c r="K12" s="1">
        <v>1</v>
      </c>
      <c r="L12" s="1">
        <v>1</v>
      </c>
      <c r="M12" s="1">
        <v>1</v>
      </c>
      <c r="N12" s="1">
        <v>1</v>
      </c>
      <c r="O12" s="1">
        <v>1</v>
      </c>
      <c r="P12" s="1">
        <v>1</v>
      </c>
      <c r="Q12" s="1">
        <v>1</v>
      </c>
      <c r="R12" s="1">
        <v>0</v>
      </c>
      <c r="S12" s="1">
        <v>0</v>
      </c>
      <c r="T12" s="1">
        <v>1</v>
      </c>
      <c r="U12" s="1">
        <v>1</v>
      </c>
      <c r="V12" s="1">
        <v>0</v>
      </c>
      <c r="W12" s="1">
        <v>0</v>
      </c>
      <c r="X12" s="1">
        <v>1</v>
      </c>
      <c r="Y12" s="2">
        <v>1</v>
      </c>
      <c r="Z12" s="1">
        <f t="shared" si="9"/>
        <v>6</v>
      </c>
      <c r="AA12" s="1">
        <f t="shared" si="10"/>
        <v>3</v>
      </c>
      <c r="AB12" s="1">
        <f t="shared" si="11"/>
        <v>3</v>
      </c>
      <c r="AC12" s="1">
        <f t="shared" si="12"/>
        <v>12</v>
      </c>
      <c r="AD12" s="1">
        <f t="shared" si="4"/>
        <v>5</v>
      </c>
      <c r="AE12" s="1">
        <f t="shared" si="5"/>
        <v>3</v>
      </c>
      <c r="AF12" s="1">
        <f t="shared" si="6"/>
        <v>3</v>
      </c>
      <c r="AG12" s="1">
        <f t="shared" si="7"/>
        <v>3.6666666666666665</v>
      </c>
    </row>
    <row r="13" spans="1:35" ht="14.4" x14ac:dyDescent="0.3">
      <c r="A13" s="1" t="s">
        <v>41</v>
      </c>
      <c r="B13" s="22" t="s">
        <v>59</v>
      </c>
      <c r="C13" s="22">
        <v>10</v>
      </c>
      <c r="D13" s="22">
        <v>0</v>
      </c>
      <c r="E13" s="22">
        <v>0</v>
      </c>
      <c r="F13" s="22">
        <v>2</v>
      </c>
      <c r="G13" s="3" t="s">
        <v>48</v>
      </c>
      <c r="H13" s="3" t="s">
        <v>53</v>
      </c>
      <c r="I13" s="1">
        <v>1</v>
      </c>
      <c r="J13" s="1">
        <v>1</v>
      </c>
      <c r="K13" s="1">
        <v>1</v>
      </c>
      <c r="L13" s="1">
        <v>1</v>
      </c>
      <c r="M13" s="1">
        <v>1</v>
      </c>
      <c r="N13" s="1">
        <v>1</v>
      </c>
      <c r="O13" s="1">
        <v>0</v>
      </c>
      <c r="P13" s="1">
        <v>0</v>
      </c>
      <c r="Q13" s="1">
        <v>0</v>
      </c>
      <c r="R13" s="1">
        <v>0</v>
      </c>
      <c r="S13" s="1">
        <v>0</v>
      </c>
      <c r="T13" s="1">
        <v>0</v>
      </c>
      <c r="U13" s="1">
        <v>1</v>
      </c>
      <c r="V13" s="1">
        <v>0</v>
      </c>
      <c r="W13" s="1">
        <v>1</v>
      </c>
      <c r="X13" s="1">
        <v>0</v>
      </c>
      <c r="Y13" s="2">
        <v>0</v>
      </c>
      <c r="Z13" s="1">
        <f t="shared" si="9"/>
        <v>5</v>
      </c>
      <c r="AA13" s="1">
        <f t="shared" si="10"/>
        <v>0</v>
      </c>
      <c r="AB13" s="1">
        <f t="shared" si="11"/>
        <v>2</v>
      </c>
      <c r="AC13" s="1">
        <f t="shared" si="12"/>
        <v>7</v>
      </c>
      <c r="AD13" s="1">
        <f t="shared" si="4"/>
        <v>4.166666666666667</v>
      </c>
      <c r="AE13" s="1">
        <f t="shared" si="5"/>
        <v>0</v>
      </c>
      <c r="AF13" s="1">
        <f t="shared" si="6"/>
        <v>2</v>
      </c>
      <c r="AG13" s="1">
        <f t="shared" si="7"/>
        <v>2.0555555555555558</v>
      </c>
    </row>
    <row r="14" spans="1:35" ht="14.4" x14ac:dyDescent="0.3">
      <c r="A14" s="1" t="s">
        <v>41</v>
      </c>
      <c r="B14" s="22" t="s">
        <v>60</v>
      </c>
      <c r="C14" s="22">
        <v>11</v>
      </c>
      <c r="D14" s="22">
        <v>0</v>
      </c>
      <c r="E14" s="22">
        <v>0</v>
      </c>
      <c r="F14" s="22">
        <v>1</v>
      </c>
      <c r="G14" s="3" t="s">
        <v>48</v>
      </c>
      <c r="H14" s="3" t="s">
        <v>44</v>
      </c>
      <c r="I14" s="1">
        <v>1</v>
      </c>
      <c r="J14" s="1">
        <v>1</v>
      </c>
      <c r="K14" s="1">
        <v>0</v>
      </c>
      <c r="L14" s="1">
        <v>0</v>
      </c>
      <c r="M14" s="1">
        <v>0</v>
      </c>
      <c r="N14" s="1">
        <v>0</v>
      </c>
      <c r="O14" s="1">
        <v>0</v>
      </c>
      <c r="P14" s="1">
        <v>0</v>
      </c>
      <c r="Q14" s="1">
        <v>1</v>
      </c>
      <c r="R14" s="1">
        <v>0</v>
      </c>
      <c r="S14" s="1">
        <v>0</v>
      </c>
      <c r="T14" s="1">
        <v>0</v>
      </c>
      <c r="U14" s="1">
        <v>0</v>
      </c>
      <c r="V14" s="1">
        <v>1</v>
      </c>
      <c r="W14" s="1">
        <v>0</v>
      </c>
      <c r="X14" s="1">
        <v>1</v>
      </c>
      <c r="Y14" s="2">
        <v>1</v>
      </c>
      <c r="Z14" s="1">
        <f t="shared" si="9"/>
        <v>1</v>
      </c>
      <c r="AA14" s="1">
        <f t="shared" si="10"/>
        <v>1</v>
      </c>
      <c r="AB14" s="1">
        <f t="shared" si="11"/>
        <v>3</v>
      </c>
      <c r="AC14" s="1">
        <f t="shared" si="12"/>
        <v>5</v>
      </c>
      <c r="AD14" s="1">
        <f t="shared" si="4"/>
        <v>0.83333333333333326</v>
      </c>
      <c r="AE14" s="1">
        <f t="shared" si="5"/>
        <v>1</v>
      </c>
      <c r="AF14" s="1">
        <f t="shared" si="6"/>
        <v>3</v>
      </c>
      <c r="AG14" s="1">
        <f t="shared" si="7"/>
        <v>1.6111111111111109</v>
      </c>
    </row>
    <row r="15" spans="1:35" ht="15.75" customHeight="1" x14ac:dyDescent="0.3">
      <c r="A15" s="1" t="s">
        <v>41</v>
      </c>
      <c r="B15" s="22" t="s">
        <v>61</v>
      </c>
      <c r="C15" s="22">
        <v>12</v>
      </c>
      <c r="D15" s="22">
        <v>1</v>
      </c>
      <c r="E15" s="22">
        <v>0</v>
      </c>
      <c r="F15" s="22">
        <v>2</v>
      </c>
      <c r="G15" s="3" t="s">
        <v>48</v>
      </c>
      <c r="H15" s="3" t="s">
        <v>46</v>
      </c>
      <c r="I15" s="1">
        <v>2</v>
      </c>
      <c r="J15" s="1">
        <v>1</v>
      </c>
      <c r="K15" s="1">
        <v>1</v>
      </c>
      <c r="L15" s="1">
        <v>0</v>
      </c>
      <c r="M15" s="1">
        <v>1</v>
      </c>
      <c r="N15" s="1">
        <v>1</v>
      </c>
      <c r="O15" s="1">
        <v>1</v>
      </c>
      <c r="P15" s="1">
        <v>0</v>
      </c>
      <c r="Q15" s="1">
        <v>1</v>
      </c>
      <c r="R15" s="1">
        <v>1</v>
      </c>
      <c r="S15" s="1">
        <v>0</v>
      </c>
      <c r="T15" s="1">
        <v>0</v>
      </c>
      <c r="U15" s="1">
        <v>0</v>
      </c>
      <c r="V15" s="1">
        <v>1</v>
      </c>
      <c r="W15" s="1">
        <v>0</v>
      </c>
      <c r="X15" s="1">
        <v>1</v>
      </c>
      <c r="Y15" s="2">
        <v>1</v>
      </c>
      <c r="Z15" s="1">
        <f t="shared" si="9"/>
        <v>5</v>
      </c>
      <c r="AA15" s="1">
        <f t="shared" si="10"/>
        <v>2</v>
      </c>
      <c r="AB15" s="1">
        <f t="shared" si="11"/>
        <v>3</v>
      </c>
      <c r="AC15" s="1">
        <f t="shared" si="12"/>
        <v>10</v>
      </c>
      <c r="AD15" s="1">
        <f t="shared" si="4"/>
        <v>4.166666666666667</v>
      </c>
      <c r="AE15" s="1">
        <f t="shared" si="5"/>
        <v>2</v>
      </c>
      <c r="AF15" s="1">
        <f t="shared" si="6"/>
        <v>3</v>
      </c>
      <c r="AG15" s="1">
        <f t="shared" si="7"/>
        <v>3.0555555555555558</v>
      </c>
      <c r="AH15" s="1" t="s">
        <v>62</v>
      </c>
    </row>
    <row r="16" spans="1:35" ht="14.4" x14ac:dyDescent="0.3">
      <c r="A16" s="1" t="s">
        <v>41</v>
      </c>
      <c r="B16" s="22" t="s">
        <v>63</v>
      </c>
      <c r="C16" s="22">
        <v>13</v>
      </c>
      <c r="D16" s="22">
        <v>1</v>
      </c>
      <c r="E16" s="22">
        <v>0</v>
      </c>
      <c r="F16" s="22">
        <v>2</v>
      </c>
      <c r="G16" s="3" t="s">
        <v>50</v>
      </c>
      <c r="H16" s="3" t="s">
        <v>53</v>
      </c>
      <c r="I16" s="1">
        <v>3</v>
      </c>
      <c r="J16" s="1">
        <v>1</v>
      </c>
      <c r="K16" s="1">
        <v>1</v>
      </c>
      <c r="L16" s="1">
        <v>1</v>
      </c>
      <c r="M16" s="1">
        <v>1</v>
      </c>
      <c r="N16" s="1">
        <v>1</v>
      </c>
      <c r="O16" s="1">
        <v>0</v>
      </c>
      <c r="P16" s="1">
        <v>1</v>
      </c>
      <c r="Q16" s="1">
        <v>1</v>
      </c>
      <c r="R16" s="1">
        <v>1</v>
      </c>
      <c r="S16" s="1">
        <v>0</v>
      </c>
      <c r="T16" s="1">
        <v>1</v>
      </c>
      <c r="U16" s="1">
        <v>1</v>
      </c>
      <c r="V16" s="1">
        <v>1</v>
      </c>
      <c r="W16" s="1">
        <v>0</v>
      </c>
      <c r="X16" s="1">
        <v>0</v>
      </c>
      <c r="Y16" s="2">
        <v>1</v>
      </c>
      <c r="Z16" s="1">
        <f t="shared" si="9"/>
        <v>5</v>
      </c>
      <c r="AA16" s="1">
        <f t="shared" si="10"/>
        <v>4</v>
      </c>
      <c r="AB16" s="1">
        <f t="shared" si="11"/>
        <v>3</v>
      </c>
      <c r="AC16" s="1">
        <f t="shared" si="12"/>
        <v>12</v>
      </c>
      <c r="AD16" s="1">
        <f t="shared" si="4"/>
        <v>4.166666666666667</v>
      </c>
      <c r="AE16" s="1">
        <f t="shared" si="5"/>
        <v>4</v>
      </c>
      <c r="AF16" s="1">
        <f t="shared" si="6"/>
        <v>3</v>
      </c>
      <c r="AG16" s="1">
        <f t="shared" si="7"/>
        <v>3.7222222222222228</v>
      </c>
    </row>
    <row r="17" spans="1:34" ht="14.4" x14ac:dyDescent="0.3">
      <c r="A17" s="1" t="s">
        <v>41</v>
      </c>
      <c r="B17" s="22" t="s">
        <v>64</v>
      </c>
      <c r="C17" s="22">
        <v>14</v>
      </c>
      <c r="D17" s="22">
        <v>1</v>
      </c>
      <c r="E17" s="22">
        <v>0</v>
      </c>
      <c r="F17" s="22">
        <v>2</v>
      </c>
      <c r="G17" s="3" t="s">
        <v>65</v>
      </c>
      <c r="H17" s="3" t="s">
        <v>66</v>
      </c>
      <c r="I17" s="1">
        <v>3</v>
      </c>
      <c r="J17" s="1">
        <v>1</v>
      </c>
      <c r="K17" s="1">
        <v>1</v>
      </c>
      <c r="L17" s="1">
        <v>1</v>
      </c>
      <c r="M17" s="1">
        <v>1</v>
      </c>
      <c r="N17" s="1">
        <v>1</v>
      </c>
      <c r="O17" s="1">
        <v>1</v>
      </c>
      <c r="P17" s="1">
        <v>0</v>
      </c>
      <c r="Q17" s="1">
        <v>0</v>
      </c>
      <c r="R17" s="1">
        <v>0</v>
      </c>
      <c r="S17" s="1">
        <v>1</v>
      </c>
      <c r="T17" s="1">
        <v>0</v>
      </c>
      <c r="U17" s="1">
        <v>1</v>
      </c>
      <c r="V17" s="1">
        <v>1</v>
      </c>
      <c r="W17" s="1">
        <v>1</v>
      </c>
      <c r="X17" s="1">
        <v>1</v>
      </c>
      <c r="Y17" s="2">
        <v>0</v>
      </c>
      <c r="Z17" s="1">
        <f t="shared" si="9"/>
        <v>6</v>
      </c>
      <c r="AA17" s="1">
        <f t="shared" si="10"/>
        <v>1</v>
      </c>
      <c r="AB17" s="1">
        <f t="shared" si="11"/>
        <v>4</v>
      </c>
      <c r="AC17" s="1">
        <f t="shared" si="12"/>
        <v>11</v>
      </c>
      <c r="AD17" s="1">
        <f t="shared" si="4"/>
        <v>5</v>
      </c>
      <c r="AE17" s="1">
        <f t="shared" si="5"/>
        <v>1</v>
      </c>
      <c r="AF17" s="1">
        <f t="shared" si="6"/>
        <v>4</v>
      </c>
      <c r="AG17" s="1">
        <f t="shared" si="7"/>
        <v>3.3333333333333335</v>
      </c>
      <c r="AH17" s="1" t="s">
        <v>67</v>
      </c>
    </row>
    <row r="18" spans="1:34" ht="14.4" x14ac:dyDescent="0.3">
      <c r="A18" s="1" t="s">
        <v>41</v>
      </c>
      <c r="B18" s="22" t="s">
        <v>68</v>
      </c>
      <c r="C18" s="22">
        <v>15</v>
      </c>
      <c r="D18" s="22">
        <v>0</v>
      </c>
      <c r="E18" s="22">
        <v>0</v>
      </c>
      <c r="F18" s="22">
        <v>1</v>
      </c>
      <c r="G18" s="3" t="s">
        <v>43</v>
      </c>
      <c r="H18" s="3" t="s">
        <v>44</v>
      </c>
      <c r="I18" s="1">
        <v>1</v>
      </c>
      <c r="J18" s="1">
        <v>1</v>
      </c>
      <c r="K18" s="1">
        <v>1</v>
      </c>
      <c r="L18" s="1">
        <v>1</v>
      </c>
      <c r="M18" s="1">
        <v>0</v>
      </c>
      <c r="N18" s="1">
        <v>0</v>
      </c>
      <c r="O18" s="1">
        <v>1</v>
      </c>
      <c r="P18" s="1">
        <v>0</v>
      </c>
      <c r="Q18" s="1">
        <v>1</v>
      </c>
      <c r="R18" s="1">
        <v>0</v>
      </c>
      <c r="S18" s="1">
        <v>0</v>
      </c>
      <c r="T18" s="1">
        <v>0</v>
      </c>
      <c r="U18" s="1">
        <v>0</v>
      </c>
      <c r="V18" s="1">
        <v>1</v>
      </c>
      <c r="W18" s="1">
        <v>0</v>
      </c>
      <c r="X18" s="1">
        <v>1</v>
      </c>
      <c r="Y18" s="2">
        <v>1</v>
      </c>
      <c r="Z18" s="1">
        <f t="shared" si="9"/>
        <v>4</v>
      </c>
      <c r="AA18" s="1">
        <f t="shared" si="10"/>
        <v>1</v>
      </c>
      <c r="AB18" s="1">
        <f t="shared" si="11"/>
        <v>3</v>
      </c>
      <c r="AC18" s="1">
        <f t="shared" si="12"/>
        <v>8</v>
      </c>
      <c r="AD18" s="1">
        <f t="shared" si="4"/>
        <v>3.333333333333333</v>
      </c>
      <c r="AE18" s="1">
        <f t="shared" si="5"/>
        <v>1</v>
      </c>
      <c r="AF18" s="1">
        <f t="shared" si="6"/>
        <v>3</v>
      </c>
      <c r="AG18" s="1">
        <f t="shared" si="7"/>
        <v>2.4444444444444442</v>
      </c>
    </row>
    <row r="19" spans="1:34" ht="14.4" x14ac:dyDescent="0.3">
      <c r="A19" s="1" t="s">
        <v>41</v>
      </c>
      <c r="B19" s="22" t="s">
        <v>69</v>
      </c>
      <c r="C19" s="22">
        <v>16</v>
      </c>
      <c r="D19" s="22">
        <v>0</v>
      </c>
      <c r="E19" s="22">
        <v>0</v>
      </c>
      <c r="F19" s="22">
        <v>1</v>
      </c>
      <c r="G19" s="3" t="s">
        <v>50</v>
      </c>
      <c r="H19" s="3" t="s">
        <v>44</v>
      </c>
      <c r="I19" s="1">
        <v>1</v>
      </c>
      <c r="J19" s="1">
        <v>1</v>
      </c>
      <c r="K19" s="1">
        <v>1</v>
      </c>
      <c r="L19" s="1">
        <v>0</v>
      </c>
      <c r="M19" s="1">
        <v>0</v>
      </c>
      <c r="N19" s="2">
        <v>0</v>
      </c>
      <c r="O19" s="1">
        <v>0</v>
      </c>
      <c r="P19" s="1">
        <v>1</v>
      </c>
      <c r="Q19" s="2">
        <v>1</v>
      </c>
      <c r="R19" s="2">
        <v>0</v>
      </c>
      <c r="S19" s="1">
        <v>0</v>
      </c>
      <c r="T19" s="1">
        <v>0</v>
      </c>
      <c r="U19" s="2">
        <v>0</v>
      </c>
      <c r="V19" s="1">
        <v>1</v>
      </c>
      <c r="W19" s="2">
        <v>0</v>
      </c>
      <c r="X19" s="2">
        <v>1</v>
      </c>
      <c r="Y19" s="2">
        <v>1</v>
      </c>
      <c r="Z19" s="1">
        <f t="shared" si="9"/>
        <v>2</v>
      </c>
      <c r="AA19" s="1">
        <f t="shared" si="10"/>
        <v>2</v>
      </c>
      <c r="AB19" s="1">
        <f t="shared" si="11"/>
        <v>3</v>
      </c>
      <c r="AC19" s="1">
        <f t="shared" si="12"/>
        <v>7</v>
      </c>
      <c r="AD19" s="1">
        <f t="shared" si="4"/>
        <v>1.6666666666666665</v>
      </c>
      <c r="AE19" s="1">
        <f t="shared" si="5"/>
        <v>2</v>
      </c>
      <c r="AF19" s="1">
        <f t="shared" si="6"/>
        <v>3</v>
      </c>
      <c r="AG19" s="1">
        <f t="shared" si="7"/>
        <v>2.2222222222222219</v>
      </c>
    </row>
    <row r="20" spans="1:34" ht="14.4" x14ac:dyDescent="0.3">
      <c r="A20" s="1" t="s">
        <v>41</v>
      </c>
      <c r="B20" s="22" t="s">
        <v>70</v>
      </c>
      <c r="C20" s="22">
        <v>17</v>
      </c>
      <c r="D20" s="22">
        <v>1</v>
      </c>
      <c r="E20" s="22">
        <v>0</v>
      </c>
      <c r="F20" s="22">
        <v>2</v>
      </c>
      <c r="G20" s="3" t="s">
        <v>65</v>
      </c>
      <c r="H20" s="3" t="s">
        <v>66</v>
      </c>
      <c r="I20" s="1">
        <v>4</v>
      </c>
      <c r="J20" s="1">
        <v>1</v>
      </c>
      <c r="K20" s="1">
        <v>1</v>
      </c>
      <c r="L20" s="1">
        <v>1</v>
      </c>
      <c r="M20" s="1">
        <v>1</v>
      </c>
      <c r="N20" s="1">
        <v>1</v>
      </c>
      <c r="O20" s="1">
        <v>1</v>
      </c>
      <c r="P20" s="1">
        <v>1</v>
      </c>
      <c r="Q20" s="1">
        <v>0</v>
      </c>
      <c r="R20" s="1">
        <v>1</v>
      </c>
      <c r="S20" s="1">
        <v>1</v>
      </c>
      <c r="T20" s="1">
        <v>0</v>
      </c>
      <c r="U20" s="1">
        <v>1</v>
      </c>
      <c r="V20" s="1">
        <v>0</v>
      </c>
      <c r="W20" s="1">
        <v>0</v>
      </c>
      <c r="X20" s="1">
        <v>1</v>
      </c>
      <c r="Y20" s="2">
        <v>1</v>
      </c>
      <c r="Z20" s="1">
        <f t="shared" si="9"/>
        <v>6</v>
      </c>
      <c r="AA20" s="1">
        <f t="shared" si="10"/>
        <v>3</v>
      </c>
      <c r="AB20" s="1">
        <f t="shared" si="11"/>
        <v>3</v>
      </c>
      <c r="AC20" s="1">
        <f t="shared" si="12"/>
        <v>12</v>
      </c>
      <c r="AD20" s="1">
        <f t="shared" si="4"/>
        <v>5</v>
      </c>
      <c r="AE20" s="1">
        <f t="shared" si="5"/>
        <v>3</v>
      </c>
      <c r="AF20" s="1">
        <f t="shared" si="6"/>
        <v>3</v>
      </c>
      <c r="AG20" s="1">
        <f t="shared" si="7"/>
        <v>3.6666666666666665</v>
      </c>
    </row>
    <row r="21" spans="1:34" ht="14.4" x14ac:dyDescent="0.3">
      <c r="A21" s="1" t="s">
        <v>41</v>
      </c>
      <c r="B21" s="22" t="s">
        <v>71</v>
      </c>
      <c r="C21" s="22">
        <v>18</v>
      </c>
      <c r="D21" s="22">
        <v>1</v>
      </c>
      <c r="E21" s="22">
        <v>0</v>
      </c>
      <c r="F21" s="22">
        <v>1</v>
      </c>
      <c r="G21" s="3" t="s">
        <v>72</v>
      </c>
      <c r="H21" s="3" t="s">
        <v>53</v>
      </c>
      <c r="I21" s="1">
        <v>2</v>
      </c>
      <c r="J21" s="1">
        <v>1</v>
      </c>
      <c r="K21" s="1">
        <v>1</v>
      </c>
      <c r="L21" s="1">
        <v>1</v>
      </c>
      <c r="M21" s="1">
        <v>1</v>
      </c>
      <c r="N21" s="1">
        <v>1</v>
      </c>
      <c r="O21" s="1">
        <v>1</v>
      </c>
      <c r="P21" s="1">
        <v>0</v>
      </c>
      <c r="Q21" s="1">
        <v>1</v>
      </c>
      <c r="R21" s="1">
        <v>0</v>
      </c>
      <c r="S21" s="1">
        <v>0</v>
      </c>
      <c r="T21" s="1">
        <v>0</v>
      </c>
      <c r="U21" s="1">
        <v>0</v>
      </c>
      <c r="V21" s="1">
        <v>1</v>
      </c>
      <c r="W21" s="1">
        <v>0</v>
      </c>
      <c r="X21" s="1">
        <v>1</v>
      </c>
      <c r="Y21" s="2">
        <v>1</v>
      </c>
      <c r="Z21" s="1">
        <f t="shared" si="9"/>
        <v>6</v>
      </c>
      <c r="AA21" s="1">
        <f t="shared" si="10"/>
        <v>1</v>
      </c>
      <c r="AB21" s="1">
        <f t="shared" si="11"/>
        <v>3</v>
      </c>
      <c r="AC21" s="1">
        <f t="shared" si="12"/>
        <v>10</v>
      </c>
      <c r="AD21" s="1">
        <f t="shared" si="4"/>
        <v>5</v>
      </c>
      <c r="AE21" s="1">
        <f t="shared" si="5"/>
        <v>1</v>
      </c>
      <c r="AF21" s="1">
        <f t="shared" si="6"/>
        <v>3</v>
      </c>
      <c r="AG21" s="1">
        <f t="shared" si="7"/>
        <v>3</v>
      </c>
      <c r="AH21" s="1" t="s">
        <v>73</v>
      </c>
    </row>
    <row r="22" spans="1:34" ht="14.4" x14ac:dyDescent="0.3">
      <c r="A22" s="1" t="s">
        <v>41</v>
      </c>
      <c r="B22" s="22" t="s">
        <v>74</v>
      </c>
      <c r="C22" s="22">
        <v>19</v>
      </c>
      <c r="D22" s="22">
        <v>0</v>
      </c>
      <c r="E22" s="22">
        <v>0</v>
      </c>
      <c r="F22" s="22">
        <v>1</v>
      </c>
      <c r="G22" s="3" t="s">
        <v>43</v>
      </c>
      <c r="H22" s="3" t="s">
        <v>55</v>
      </c>
      <c r="I22" s="1">
        <v>1</v>
      </c>
      <c r="J22" s="1">
        <v>1</v>
      </c>
      <c r="K22" s="1">
        <v>0</v>
      </c>
      <c r="L22" s="1">
        <v>0</v>
      </c>
      <c r="M22" s="1">
        <v>0</v>
      </c>
      <c r="N22" s="1">
        <v>0</v>
      </c>
      <c r="O22" s="1">
        <v>0</v>
      </c>
      <c r="P22" s="1">
        <v>0</v>
      </c>
      <c r="Q22" s="1">
        <v>1</v>
      </c>
      <c r="R22" s="1">
        <v>0</v>
      </c>
      <c r="S22" s="1">
        <v>0</v>
      </c>
      <c r="T22" s="1">
        <v>0</v>
      </c>
      <c r="U22" s="1">
        <v>0</v>
      </c>
      <c r="V22" s="1">
        <v>0</v>
      </c>
      <c r="W22" s="1">
        <v>0</v>
      </c>
      <c r="X22" s="1">
        <v>1</v>
      </c>
      <c r="Y22" s="2">
        <v>1</v>
      </c>
      <c r="Z22" s="1">
        <f t="shared" ref="Z22:Z24" si="13">SUM(J22:O22)</f>
        <v>1</v>
      </c>
      <c r="AA22" s="1">
        <f t="shared" si="10"/>
        <v>1</v>
      </c>
      <c r="AB22" s="1">
        <f t="shared" si="11"/>
        <v>2</v>
      </c>
      <c r="AC22" s="1">
        <f t="shared" si="12"/>
        <v>4</v>
      </c>
      <c r="AD22" s="1">
        <f t="shared" si="4"/>
        <v>0.83333333333333326</v>
      </c>
      <c r="AE22" s="1">
        <f t="shared" si="5"/>
        <v>1</v>
      </c>
      <c r="AF22" s="1">
        <f t="shared" si="6"/>
        <v>2</v>
      </c>
      <c r="AG22" s="1">
        <f t="shared" si="7"/>
        <v>1.2777777777777777</v>
      </c>
    </row>
    <row r="23" spans="1:34" ht="14.4" x14ac:dyDescent="0.3">
      <c r="A23" s="1" t="s">
        <v>41</v>
      </c>
      <c r="B23" s="22" t="s">
        <v>75</v>
      </c>
      <c r="C23" s="22">
        <v>20</v>
      </c>
      <c r="D23" s="22">
        <v>1</v>
      </c>
      <c r="E23" s="22">
        <v>0</v>
      </c>
      <c r="F23" s="22">
        <v>2</v>
      </c>
      <c r="G23" s="3" t="s">
        <v>50</v>
      </c>
      <c r="H23" s="3" t="s">
        <v>53</v>
      </c>
      <c r="I23" s="1">
        <v>1</v>
      </c>
      <c r="J23" s="1">
        <v>1</v>
      </c>
      <c r="K23" s="1">
        <v>1</v>
      </c>
      <c r="L23" s="1">
        <v>1</v>
      </c>
      <c r="M23" s="1">
        <v>0</v>
      </c>
      <c r="N23" s="1">
        <v>1</v>
      </c>
      <c r="O23" s="1">
        <v>0</v>
      </c>
      <c r="P23" s="1">
        <v>0</v>
      </c>
      <c r="Q23" s="1">
        <v>0</v>
      </c>
      <c r="R23" s="1">
        <v>0</v>
      </c>
      <c r="S23" s="1">
        <v>0</v>
      </c>
      <c r="T23" s="1">
        <v>0</v>
      </c>
      <c r="U23" s="1">
        <v>0</v>
      </c>
      <c r="V23" s="1">
        <v>0</v>
      </c>
      <c r="W23" s="1">
        <v>0</v>
      </c>
      <c r="X23" s="1">
        <v>0</v>
      </c>
      <c r="Y23" s="2">
        <v>1</v>
      </c>
      <c r="Z23" s="1">
        <f t="shared" si="13"/>
        <v>4</v>
      </c>
      <c r="AA23" s="1">
        <f>SUM(P23:T23)</f>
        <v>0</v>
      </c>
      <c r="AB23" s="1">
        <f t="shared" si="11"/>
        <v>1</v>
      </c>
      <c r="AC23" s="1">
        <f t="shared" si="12"/>
        <v>5</v>
      </c>
      <c r="AD23" s="1">
        <f t="shared" si="4"/>
        <v>3.333333333333333</v>
      </c>
      <c r="AE23" s="1">
        <f t="shared" si="5"/>
        <v>0</v>
      </c>
      <c r="AF23" s="1">
        <f t="shared" si="6"/>
        <v>1</v>
      </c>
      <c r="AG23" s="1">
        <f t="shared" si="7"/>
        <v>1.4444444444444444</v>
      </c>
    </row>
    <row r="24" spans="1:34" ht="14.4" x14ac:dyDescent="0.3">
      <c r="A24" s="1" t="s">
        <v>41</v>
      </c>
      <c r="B24" s="22" t="s">
        <v>76</v>
      </c>
      <c r="C24" s="22">
        <v>21</v>
      </c>
      <c r="D24" s="22">
        <v>0</v>
      </c>
      <c r="E24" s="22">
        <v>0</v>
      </c>
      <c r="F24" s="22">
        <v>1</v>
      </c>
      <c r="G24" s="3" t="s">
        <v>48</v>
      </c>
      <c r="H24" s="3" t="s">
        <v>44</v>
      </c>
      <c r="I24" s="1">
        <v>1</v>
      </c>
      <c r="J24" s="1">
        <v>1</v>
      </c>
      <c r="K24" s="1">
        <v>0</v>
      </c>
      <c r="L24" s="1">
        <v>0</v>
      </c>
      <c r="M24" s="1">
        <v>0</v>
      </c>
      <c r="N24" s="1">
        <v>0</v>
      </c>
      <c r="O24" s="1">
        <v>0</v>
      </c>
      <c r="P24" s="1">
        <v>0</v>
      </c>
      <c r="Q24" s="1">
        <v>1</v>
      </c>
      <c r="R24" s="1">
        <v>0</v>
      </c>
      <c r="S24" s="1">
        <v>0</v>
      </c>
      <c r="T24" s="1">
        <v>0</v>
      </c>
      <c r="U24" s="1">
        <v>0</v>
      </c>
      <c r="V24" s="1">
        <v>0</v>
      </c>
      <c r="W24" s="1">
        <v>0</v>
      </c>
      <c r="X24" s="1">
        <v>1</v>
      </c>
      <c r="Y24" s="2">
        <v>1</v>
      </c>
      <c r="Z24" s="1">
        <f t="shared" si="13"/>
        <v>1</v>
      </c>
      <c r="AA24" s="1">
        <f>SUM(P24:T24)</f>
        <v>1</v>
      </c>
      <c r="AB24" s="1">
        <f t="shared" si="11"/>
        <v>2</v>
      </c>
      <c r="AC24" s="1">
        <f t="shared" si="12"/>
        <v>4</v>
      </c>
      <c r="AD24" s="1">
        <f t="shared" si="4"/>
        <v>0.83333333333333326</v>
      </c>
      <c r="AE24" s="1">
        <f t="shared" si="5"/>
        <v>1</v>
      </c>
      <c r="AF24" s="1">
        <f t="shared" si="6"/>
        <v>2</v>
      </c>
      <c r="AG24" s="1">
        <f t="shared" si="7"/>
        <v>1.2777777777777777</v>
      </c>
    </row>
    <row r="25" spans="1:34" ht="14.4" x14ac:dyDescent="0.3">
      <c r="A25" s="1" t="s">
        <v>41</v>
      </c>
      <c r="B25" s="22" t="s">
        <v>77</v>
      </c>
      <c r="C25" s="22">
        <v>22</v>
      </c>
      <c r="D25" s="22">
        <v>0</v>
      </c>
      <c r="E25" s="22">
        <v>0</v>
      </c>
      <c r="F25" s="22">
        <v>1</v>
      </c>
      <c r="G25" s="3" t="s">
        <v>43</v>
      </c>
      <c r="H25" s="3" t="s">
        <v>55</v>
      </c>
      <c r="I25" s="1">
        <v>1</v>
      </c>
      <c r="J25" s="1">
        <v>1</v>
      </c>
      <c r="K25" s="1">
        <v>0</v>
      </c>
      <c r="L25" s="1">
        <v>0</v>
      </c>
      <c r="M25" s="1">
        <v>0</v>
      </c>
      <c r="N25" s="1">
        <v>0</v>
      </c>
      <c r="O25" s="1">
        <v>0</v>
      </c>
      <c r="P25" s="1">
        <v>0</v>
      </c>
      <c r="Q25" s="1">
        <v>1</v>
      </c>
      <c r="R25" s="1">
        <v>0</v>
      </c>
      <c r="S25" s="1">
        <v>0</v>
      </c>
      <c r="T25" s="1">
        <v>0</v>
      </c>
      <c r="U25" s="1">
        <v>0</v>
      </c>
      <c r="V25" s="1">
        <v>1</v>
      </c>
      <c r="W25" s="1">
        <v>0</v>
      </c>
      <c r="X25" s="1">
        <v>1</v>
      </c>
      <c r="Y25" s="2">
        <v>0</v>
      </c>
      <c r="Z25" s="1">
        <f t="shared" ref="Z25:Z32" si="14">SUM(J25:O25)</f>
        <v>1</v>
      </c>
      <c r="AA25" s="1">
        <f t="shared" ref="AA25:AA32" si="15">SUM(P25:T25)</f>
        <v>1</v>
      </c>
      <c r="AB25" s="1">
        <f t="shared" si="11"/>
        <v>2</v>
      </c>
      <c r="AC25" s="1">
        <f t="shared" si="12"/>
        <v>4</v>
      </c>
      <c r="AD25" s="1">
        <f t="shared" si="4"/>
        <v>0.83333333333333326</v>
      </c>
      <c r="AE25" s="1">
        <f t="shared" si="5"/>
        <v>1</v>
      </c>
      <c r="AF25" s="1">
        <f t="shared" si="6"/>
        <v>2</v>
      </c>
      <c r="AG25" s="1">
        <f t="shared" si="7"/>
        <v>1.2777777777777777</v>
      </c>
    </row>
    <row r="26" spans="1:34" ht="14.4" x14ac:dyDescent="0.3">
      <c r="A26" s="1" t="s">
        <v>41</v>
      </c>
      <c r="B26" s="22" t="s">
        <v>78</v>
      </c>
      <c r="C26" s="22">
        <v>23</v>
      </c>
      <c r="D26" s="22">
        <v>0</v>
      </c>
      <c r="E26" s="22">
        <v>0</v>
      </c>
      <c r="F26" s="22">
        <v>2</v>
      </c>
      <c r="G26" s="3" t="s">
        <v>50</v>
      </c>
      <c r="H26" s="3" t="s">
        <v>55</v>
      </c>
      <c r="I26" s="1">
        <v>1</v>
      </c>
      <c r="J26" s="1">
        <v>1</v>
      </c>
      <c r="K26" s="1">
        <v>0</v>
      </c>
      <c r="L26" s="1">
        <v>0</v>
      </c>
      <c r="M26" s="1">
        <v>1</v>
      </c>
      <c r="N26" s="1">
        <v>1</v>
      </c>
      <c r="O26" s="1">
        <v>0</v>
      </c>
      <c r="P26" s="1">
        <v>0</v>
      </c>
      <c r="Q26" s="1">
        <v>0</v>
      </c>
      <c r="R26" s="1">
        <v>1</v>
      </c>
      <c r="S26" s="1">
        <v>0</v>
      </c>
      <c r="T26" s="1">
        <v>0</v>
      </c>
      <c r="U26" s="1">
        <v>0</v>
      </c>
      <c r="V26" s="1">
        <v>1</v>
      </c>
      <c r="W26" s="1">
        <v>0</v>
      </c>
      <c r="X26" s="1">
        <v>1</v>
      </c>
      <c r="Y26" s="2">
        <v>0</v>
      </c>
      <c r="Z26" s="1">
        <f t="shared" si="14"/>
        <v>3</v>
      </c>
      <c r="AA26" s="1">
        <f t="shared" si="15"/>
        <v>1</v>
      </c>
      <c r="AB26" s="1">
        <f t="shared" si="11"/>
        <v>2</v>
      </c>
      <c r="AC26" s="1">
        <f t="shared" si="12"/>
        <v>6</v>
      </c>
      <c r="AD26" s="1">
        <f t="shared" si="4"/>
        <v>2.5</v>
      </c>
      <c r="AE26" s="1">
        <f t="shared" si="5"/>
        <v>1</v>
      </c>
      <c r="AF26" s="1">
        <f t="shared" si="6"/>
        <v>2</v>
      </c>
      <c r="AG26" s="1">
        <f t="shared" si="7"/>
        <v>1.8333333333333333</v>
      </c>
    </row>
    <row r="27" spans="1:34" ht="14.4" x14ac:dyDescent="0.3">
      <c r="A27" s="1" t="s">
        <v>41</v>
      </c>
      <c r="B27" s="22" t="s">
        <v>79</v>
      </c>
      <c r="C27" s="22">
        <v>24</v>
      </c>
      <c r="D27" s="22">
        <v>1</v>
      </c>
      <c r="E27" s="22">
        <v>0</v>
      </c>
      <c r="F27" s="22">
        <v>1</v>
      </c>
      <c r="G27" s="3" t="s">
        <v>50</v>
      </c>
      <c r="H27" s="3" t="s">
        <v>53</v>
      </c>
      <c r="I27" s="1">
        <v>2</v>
      </c>
      <c r="J27" s="1">
        <v>1</v>
      </c>
      <c r="K27" s="1">
        <v>1</v>
      </c>
      <c r="L27" s="1">
        <v>1</v>
      </c>
      <c r="M27" s="1">
        <v>1</v>
      </c>
      <c r="N27" s="1">
        <v>0</v>
      </c>
      <c r="O27" s="1">
        <v>0</v>
      </c>
      <c r="P27" s="1">
        <v>0</v>
      </c>
      <c r="Q27" s="1">
        <v>1</v>
      </c>
      <c r="R27" s="1">
        <v>0</v>
      </c>
      <c r="S27" s="1">
        <v>0</v>
      </c>
      <c r="T27" s="1">
        <v>0</v>
      </c>
      <c r="U27" s="1">
        <v>0</v>
      </c>
      <c r="V27" s="1">
        <v>1</v>
      </c>
      <c r="W27" s="1">
        <v>0</v>
      </c>
      <c r="X27" s="1">
        <v>1</v>
      </c>
      <c r="Y27" s="2">
        <v>0</v>
      </c>
      <c r="Z27" s="1">
        <f t="shared" si="14"/>
        <v>4</v>
      </c>
      <c r="AA27" s="1">
        <f t="shared" si="15"/>
        <v>1</v>
      </c>
      <c r="AB27" s="1">
        <f t="shared" si="11"/>
        <v>2</v>
      </c>
      <c r="AC27" s="1">
        <f t="shared" si="12"/>
        <v>7</v>
      </c>
      <c r="AD27" s="1">
        <f t="shared" si="4"/>
        <v>3.333333333333333</v>
      </c>
      <c r="AE27" s="1">
        <f t="shared" si="5"/>
        <v>1</v>
      </c>
      <c r="AF27" s="1">
        <f t="shared" si="6"/>
        <v>2</v>
      </c>
      <c r="AG27" s="1">
        <f t="shared" si="7"/>
        <v>2.1111111111111112</v>
      </c>
    </row>
    <row r="28" spans="1:34" ht="14.4" x14ac:dyDescent="0.3">
      <c r="A28" s="1" t="s">
        <v>41</v>
      </c>
      <c r="B28" s="22" t="s">
        <v>80</v>
      </c>
      <c r="C28" s="22">
        <v>25</v>
      </c>
      <c r="D28" s="22">
        <v>1</v>
      </c>
      <c r="E28" s="64" t="s">
        <v>81</v>
      </c>
      <c r="F28" s="22">
        <v>2</v>
      </c>
      <c r="G28" s="3" t="s">
        <v>48</v>
      </c>
      <c r="H28" s="3" t="s">
        <v>66</v>
      </c>
      <c r="I28" s="1">
        <v>3</v>
      </c>
      <c r="J28" s="1">
        <v>1</v>
      </c>
      <c r="K28" s="1">
        <v>1</v>
      </c>
      <c r="L28" s="1">
        <v>1</v>
      </c>
      <c r="M28" s="1">
        <v>0</v>
      </c>
      <c r="N28" s="1">
        <v>1</v>
      </c>
      <c r="O28" s="1">
        <v>1</v>
      </c>
      <c r="P28" s="1">
        <v>0</v>
      </c>
      <c r="Q28" s="1">
        <v>0</v>
      </c>
      <c r="R28" s="1">
        <v>1</v>
      </c>
      <c r="S28" s="1">
        <v>0</v>
      </c>
      <c r="T28" s="1">
        <v>0</v>
      </c>
      <c r="U28" s="1">
        <v>1</v>
      </c>
      <c r="V28" s="1">
        <v>1</v>
      </c>
      <c r="W28" s="1">
        <v>1</v>
      </c>
      <c r="X28" s="1">
        <v>1</v>
      </c>
      <c r="Y28" s="2">
        <v>1</v>
      </c>
      <c r="Z28" s="1">
        <f t="shared" si="14"/>
        <v>5</v>
      </c>
      <c r="AA28" s="1">
        <f t="shared" si="15"/>
        <v>1</v>
      </c>
      <c r="AB28" s="1">
        <f t="shared" si="11"/>
        <v>5</v>
      </c>
      <c r="AC28" s="1">
        <f t="shared" si="12"/>
        <v>11</v>
      </c>
      <c r="AD28" s="1">
        <f t="shared" si="4"/>
        <v>4.166666666666667</v>
      </c>
      <c r="AE28" s="1">
        <f t="shared" si="5"/>
        <v>1</v>
      </c>
      <c r="AF28" s="1">
        <f t="shared" si="6"/>
        <v>5</v>
      </c>
      <c r="AG28" s="1">
        <f t="shared" si="7"/>
        <v>3.3888888888888893</v>
      </c>
    </row>
    <row r="29" spans="1:34" ht="14.4" x14ac:dyDescent="0.3">
      <c r="A29" s="1" t="s">
        <v>41</v>
      </c>
      <c r="B29" s="22" t="s">
        <v>82</v>
      </c>
      <c r="C29" s="22">
        <v>26</v>
      </c>
      <c r="D29" s="22">
        <v>1</v>
      </c>
      <c r="E29" s="22">
        <v>0</v>
      </c>
      <c r="F29" s="22">
        <v>2</v>
      </c>
      <c r="G29" s="3" t="s">
        <v>50</v>
      </c>
      <c r="H29" s="3" t="s">
        <v>66</v>
      </c>
      <c r="I29" s="1">
        <v>3</v>
      </c>
      <c r="J29" s="1">
        <v>1</v>
      </c>
      <c r="K29" s="1">
        <v>1</v>
      </c>
      <c r="L29" s="1">
        <v>0</v>
      </c>
      <c r="M29" s="1">
        <v>1</v>
      </c>
      <c r="N29" s="1">
        <v>1</v>
      </c>
      <c r="O29" s="1">
        <v>1</v>
      </c>
      <c r="P29" s="1">
        <v>0</v>
      </c>
      <c r="Q29" s="1">
        <v>0</v>
      </c>
      <c r="R29" s="1">
        <v>1</v>
      </c>
      <c r="S29" s="1">
        <v>0</v>
      </c>
      <c r="T29" s="1">
        <v>0</v>
      </c>
      <c r="U29" s="1">
        <v>1</v>
      </c>
      <c r="V29" s="1">
        <v>0</v>
      </c>
      <c r="W29" s="1">
        <v>1</v>
      </c>
      <c r="X29" s="1">
        <v>1</v>
      </c>
      <c r="Y29" s="2">
        <v>0</v>
      </c>
      <c r="Z29" s="1">
        <f t="shared" si="14"/>
        <v>5</v>
      </c>
      <c r="AA29" s="1">
        <f t="shared" si="15"/>
        <v>1</v>
      </c>
      <c r="AB29" s="1">
        <f t="shared" si="11"/>
        <v>3</v>
      </c>
      <c r="AC29" s="1">
        <f t="shared" si="12"/>
        <v>9</v>
      </c>
      <c r="AD29" s="1">
        <f t="shared" si="4"/>
        <v>4.166666666666667</v>
      </c>
      <c r="AE29" s="1">
        <f t="shared" si="5"/>
        <v>1</v>
      </c>
      <c r="AF29" s="1">
        <f t="shared" si="6"/>
        <v>3</v>
      </c>
      <c r="AG29" s="1">
        <f t="shared" si="7"/>
        <v>2.7222222222222228</v>
      </c>
    </row>
    <row r="30" spans="1:34" ht="14.4" x14ac:dyDescent="0.3">
      <c r="A30" s="1" t="s">
        <v>41</v>
      </c>
      <c r="B30" s="22" t="s">
        <v>83</v>
      </c>
      <c r="C30" s="22">
        <v>27</v>
      </c>
      <c r="D30" s="22">
        <v>1</v>
      </c>
      <c r="E30" s="22">
        <v>0</v>
      </c>
      <c r="F30" s="22">
        <v>2</v>
      </c>
      <c r="G30" s="3" t="s">
        <v>43</v>
      </c>
      <c r="H30" s="3" t="s">
        <v>66</v>
      </c>
      <c r="I30" s="1">
        <v>2</v>
      </c>
      <c r="J30" s="1">
        <v>1</v>
      </c>
      <c r="K30" s="1">
        <v>1</v>
      </c>
      <c r="L30" s="1">
        <v>1</v>
      </c>
      <c r="M30" s="1">
        <v>1</v>
      </c>
      <c r="N30" s="1">
        <v>1</v>
      </c>
      <c r="O30" s="1">
        <v>0</v>
      </c>
      <c r="P30" s="1">
        <v>0</v>
      </c>
      <c r="Q30" s="1">
        <v>0</v>
      </c>
      <c r="R30" s="1">
        <v>1</v>
      </c>
      <c r="S30" s="1">
        <v>0</v>
      </c>
      <c r="T30" s="1">
        <v>0</v>
      </c>
      <c r="U30" s="1">
        <v>0</v>
      </c>
      <c r="V30" s="1">
        <v>1</v>
      </c>
      <c r="W30" s="1">
        <v>0</v>
      </c>
      <c r="X30" s="1">
        <v>1</v>
      </c>
      <c r="Y30" s="2">
        <v>0</v>
      </c>
      <c r="Z30" s="1">
        <f t="shared" si="14"/>
        <v>5</v>
      </c>
      <c r="AA30" s="1">
        <f t="shared" si="15"/>
        <v>1</v>
      </c>
      <c r="AB30" s="1">
        <f t="shared" si="11"/>
        <v>2</v>
      </c>
      <c r="AC30" s="1">
        <f t="shared" si="12"/>
        <v>8</v>
      </c>
      <c r="AD30" s="1">
        <f t="shared" si="4"/>
        <v>4.166666666666667</v>
      </c>
      <c r="AE30" s="1">
        <f t="shared" si="5"/>
        <v>1</v>
      </c>
      <c r="AF30" s="1">
        <f t="shared" si="6"/>
        <v>2</v>
      </c>
      <c r="AG30" s="1">
        <f t="shared" si="7"/>
        <v>2.3888888888888888</v>
      </c>
    </row>
    <row r="31" spans="1:34" ht="14.4" x14ac:dyDescent="0.3">
      <c r="A31" s="1" t="s">
        <v>41</v>
      </c>
      <c r="B31" s="22" t="s">
        <v>84</v>
      </c>
      <c r="C31" s="22">
        <v>28</v>
      </c>
      <c r="D31" s="22">
        <v>1</v>
      </c>
      <c r="E31" s="22">
        <v>0</v>
      </c>
      <c r="F31" s="22">
        <v>2</v>
      </c>
      <c r="G31" s="3" t="s">
        <v>50</v>
      </c>
      <c r="H31" s="3" t="s">
        <v>66</v>
      </c>
      <c r="I31" s="1">
        <v>4</v>
      </c>
      <c r="J31" s="1">
        <v>1</v>
      </c>
      <c r="K31" s="1">
        <v>1</v>
      </c>
      <c r="L31" s="1">
        <v>1</v>
      </c>
      <c r="M31" s="1">
        <v>1</v>
      </c>
      <c r="N31" s="1">
        <v>1</v>
      </c>
      <c r="O31" s="1">
        <v>1</v>
      </c>
      <c r="P31" s="1">
        <v>0</v>
      </c>
      <c r="Q31" s="1">
        <v>1</v>
      </c>
      <c r="R31" s="1">
        <v>1</v>
      </c>
      <c r="S31" s="1">
        <v>1</v>
      </c>
      <c r="T31" s="1">
        <v>1</v>
      </c>
      <c r="U31" s="1">
        <v>1</v>
      </c>
      <c r="V31" s="1">
        <v>1</v>
      </c>
      <c r="W31" s="1">
        <v>0</v>
      </c>
      <c r="X31" s="1">
        <v>1</v>
      </c>
      <c r="Y31" s="2">
        <v>1</v>
      </c>
      <c r="Z31" s="1">
        <f t="shared" si="14"/>
        <v>6</v>
      </c>
      <c r="AA31" s="1">
        <f t="shared" si="15"/>
        <v>4</v>
      </c>
      <c r="AB31" s="1">
        <f t="shared" si="11"/>
        <v>4</v>
      </c>
      <c r="AC31" s="1">
        <f t="shared" si="12"/>
        <v>14</v>
      </c>
      <c r="AD31" s="1">
        <f t="shared" si="4"/>
        <v>5</v>
      </c>
      <c r="AE31" s="1">
        <f t="shared" si="5"/>
        <v>4</v>
      </c>
      <c r="AF31" s="1">
        <f t="shared" si="6"/>
        <v>4</v>
      </c>
      <c r="AG31" s="1">
        <f t="shared" si="7"/>
        <v>4.333333333333333</v>
      </c>
      <c r="AH31" s="1" t="s">
        <v>85</v>
      </c>
    </row>
    <row r="32" spans="1:34" ht="14.4" x14ac:dyDescent="0.3">
      <c r="A32" s="1" t="s">
        <v>41</v>
      </c>
      <c r="B32" s="22" t="s">
        <v>86</v>
      </c>
      <c r="C32" s="22">
        <v>29</v>
      </c>
      <c r="D32" s="22">
        <v>1</v>
      </c>
      <c r="E32" s="22">
        <v>0</v>
      </c>
      <c r="F32" s="22">
        <v>2</v>
      </c>
      <c r="G32" s="3" t="s">
        <v>48</v>
      </c>
      <c r="H32" s="3" t="s">
        <v>66</v>
      </c>
      <c r="I32" s="1">
        <v>1</v>
      </c>
      <c r="J32" s="1">
        <v>0</v>
      </c>
      <c r="K32" s="1">
        <v>0</v>
      </c>
      <c r="L32" s="1">
        <v>1</v>
      </c>
      <c r="M32" s="1">
        <v>1</v>
      </c>
      <c r="N32" s="1">
        <v>0</v>
      </c>
      <c r="O32" s="1">
        <v>0</v>
      </c>
      <c r="P32" s="1">
        <v>0</v>
      </c>
      <c r="Q32" s="1">
        <v>0</v>
      </c>
      <c r="R32" s="1">
        <v>0</v>
      </c>
      <c r="S32" s="1">
        <v>0</v>
      </c>
      <c r="T32" s="1">
        <v>0</v>
      </c>
      <c r="U32" s="1">
        <v>0</v>
      </c>
      <c r="V32" s="1">
        <v>1</v>
      </c>
      <c r="W32" s="1">
        <v>0</v>
      </c>
      <c r="X32" s="1">
        <v>0</v>
      </c>
      <c r="Y32" s="2">
        <v>1</v>
      </c>
      <c r="Z32" s="1">
        <f t="shared" si="14"/>
        <v>2</v>
      </c>
      <c r="AA32" s="1">
        <f t="shared" si="15"/>
        <v>0</v>
      </c>
      <c r="AB32" s="1">
        <f t="shared" si="11"/>
        <v>2</v>
      </c>
      <c r="AC32" s="1">
        <f t="shared" si="12"/>
        <v>4</v>
      </c>
      <c r="AD32" s="1">
        <f t="shared" si="4"/>
        <v>1.6666666666666665</v>
      </c>
      <c r="AE32" s="1">
        <f t="shared" si="5"/>
        <v>0</v>
      </c>
      <c r="AF32" s="1">
        <f t="shared" si="6"/>
        <v>2</v>
      </c>
      <c r="AG32" s="1">
        <f t="shared" si="7"/>
        <v>1.2222222222222221</v>
      </c>
    </row>
    <row r="33" spans="3:3" ht="14.4" x14ac:dyDescent="0.3">
      <c r="C33" s="22"/>
    </row>
    <row r="34" spans="3:3" ht="14.4" x14ac:dyDescent="0.3">
      <c r="C34" s="22"/>
    </row>
    <row r="35" spans="3:3" ht="14.4" x14ac:dyDescent="0.3">
      <c r="C35" s="22"/>
    </row>
    <row r="36" spans="3:3" ht="14.4" x14ac:dyDescent="0.3">
      <c r="C36" s="22"/>
    </row>
    <row r="37" spans="3:3" ht="14.4" x14ac:dyDescent="0.3">
      <c r="C37" s="22"/>
    </row>
    <row r="38" spans="3:3" ht="14.4" x14ac:dyDescent="0.3">
      <c r="C38" s="22"/>
    </row>
    <row r="39" spans="3:3" ht="14.4" x14ac:dyDescent="0.3">
      <c r="C39" s="22"/>
    </row>
    <row r="40" spans="3:3" ht="14.4" x14ac:dyDescent="0.3">
      <c r="C40" s="22"/>
    </row>
    <row r="41" spans="3:3" ht="14.4" x14ac:dyDescent="0.3">
      <c r="C41" s="22"/>
    </row>
    <row r="42" spans="3:3" ht="14.4" x14ac:dyDescent="0.3">
      <c r="C42" s="22"/>
    </row>
    <row r="43" spans="3:3" ht="14.4" x14ac:dyDescent="0.3">
      <c r="C43" s="22"/>
    </row>
    <row r="44" spans="3:3" ht="14.4" x14ac:dyDescent="0.3">
      <c r="C44" s="22"/>
    </row>
    <row r="45" spans="3:3" ht="14.4" x14ac:dyDescent="0.3">
      <c r="C45" s="22"/>
    </row>
    <row r="46" spans="3:3" ht="14.4" x14ac:dyDescent="0.3">
      <c r="C46" s="22"/>
    </row>
    <row r="47" spans="3:3" ht="14.4" x14ac:dyDescent="0.3">
      <c r="C47" s="22"/>
    </row>
    <row r="48" spans="3:3" ht="14.4" x14ac:dyDescent="0.3">
      <c r="C48" s="22"/>
    </row>
    <row r="49" spans="3:3" ht="14.4" x14ac:dyDescent="0.3">
      <c r="C49" s="22"/>
    </row>
    <row r="50" spans="3:3" ht="14.4" x14ac:dyDescent="0.3">
      <c r="C50" s="22"/>
    </row>
    <row r="51" spans="3:3" ht="14.4" x14ac:dyDescent="0.3">
      <c r="C51" s="22"/>
    </row>
    <row r="52" spans="3:3" ht="14.4" x14ac:dyDescent="0.3">
      <c r="C52" s="22"/>
    </row>
    <row r="53" spans="3:3" ht="14.4" x14ac:dyDescent="0.3">
      <c r="C53" s="22"/>
    </row>
    <row r="54" spans="3:3" ht="14.4" x14ac:dyDescent="0.3">
      <c r="C54" s="22"/>
    </row>
    <row r="55" spans="3:3" ht="14.4" x14ac:dyDescent="0.3">
      <c r="C55" s="22"/>
    </row>
    <row r="56" spans="3:3" ht="14.4" x14ac:dyDescent="0.3">
      <c r="C56" s="22"/>
    </row>
    <row r="57" spans="3:3" ht="14.4" x14ac:dyDescent="0.3"/>
    <row r="58" spans="3:3" ht="14.4" x14ac:dyDescent="0.3"/>
  </sheetData>
  <mergeCells count="3">
    <mergeCell ref="J1:O1"/>
    <mergeCell ref="P1:T1"/>
    <mergeCell ref="U1:Y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F4A6-664E-4C31-B61B-A3EC73B2C546}">
  <dimension ref="A1:AI58"/>
  <sheetViews>
    <sheetView topLeftCell="P1" zoomScale="55" zoomScaleNormal="55" workbookViewId="0">
      <pane ySplit="2" topLeftCell="A3" activePane="bottomLeft" state="frozen"/>
      <selection pane="bottomLeft" activeCell="AI2" sqref="AI2"/>
    </sheetView>
  </sheetViews>
  <sheetFormatPr defaultColWidth="8.6640625" defaultRowHeight="15" customHeight="1" x14ac:dyDescent="0.3"/>
  <cols>
    <col min="1" max="1" width="19.6640625" style="1" customWidth="1"/>
    <col min="2" max="2" width="31" style="22" customWidth="1"/>
    <col min="3" max="3" width="23.5546875" style="3" customWidth="1"/>
    <col min="4" max="6" width="23.5546875" style="22" customWidth="1"/>
    <col min="7" max="8" width="23.5546875" style="3" customWidth="1"/>
    <col min="9" max="9" width="11.6640625" style="1" customWidth="1"/>
    <col min="10" max="17" width="18.44140625" style="1" customWidth="1"/>
    <col min="18" max="18" width="24.6640625" style="1" customWidth="1"/>
    <col min="19" max="24" width="18.44140625" style="1" customWidth="1"/>
    <col min="25" max="25" width="18.44140625" style="2" customWidth="1"/>
    <col min="26" max="33" width="15.6640625" style="1" customWidth="1"/>
    <col min="34" max="34" width="37.109375" style="1" customWidth="1"/>
    <col min="35" max="35" width="29.6640625" style="1" customWidth="1"/>
    <col min="36" max="16384" width="8.6640625" style="1"/>
  </cols>
  <sheetData>
    <row r="1" spans="1:35" ht="71.7" customHeight="1" x14ac:dyDescent="0.3">
      <c r="J1" s="66" t="s">
        <v>0</v>
      </c>
      <c r="K1" s="67"/>
      <c r="L1" s="67"/>
      <c r="M1" s="67"/>
      <c r="N1" s="67"/>
      <c r="O1" s="67"/>
      <c r="P1" s="68" t="s">
        <v>31</v>
      </c>
      <c r="Q1" s="69"/>
      <c r="R1" s="69"/>
      <c r="S1" s="69"/>
      <c r="T1" s="70"/>
      <c r="U1" s="71" t="s">
        <v>32</v>
      </c>
      <c r="V1" s="71"/>
      <c r="W1" s="71"/>
      <c r="X1" s="71"/>
      <c r="Y1" s="71"/>
      <c r="Z1" s="20"/>
      <c r="AA1" s="20"/>
    </row>
    <row r="2" spans="1:35" s="10" customFormat="1" ht="124.2" customHeight="1" x14ac:dyDescent="0.3">
      <c r="A2" s="21" t="s">
        <v>33</v>
      </c>
      <c r="B2" s="39" t="s">
        <v>34</v>
      </c>
      <c r="C2" s="21" t="s">
        <v>4</v>
      </c>
      <c r="D2" s="39" t="s">
        <v>35</v>
      </c>
      <c r="E2" s="39" t="s">
        <v>36</v>
      </c>
      <c r="F2" s="39" t="s">
        <v>37</v>
      </c>
      <c r="G2" s="39" t="s">
        <v>38</v>
      </c>
      <c r="H2" s="39" t="s">
        <v>39</v>
      </c>
      <c r="I2" s="19" t="s">
        <v>5</v>
      </c>
      <c r="J2" s="17" t="s">
        <v>6</v>
      </c>
      <c r="K2" s="17" t="s">
        <v>7</v>
      </c>
      <c r="L2" s="17" t="s">
        <v>8</v>
      </c>
      <c r="M2" s="17" t="s">
        <v>9</v>
      </c>
      <c r="N2" s="17" t="s">
        <v>10</v>
      </c>
      <c r="O2" s="17" t="s">
        <v>11</v>
      </c>
      <c r="P2" s="17" t="s">
        <v>12</v>
      </c>
      <c r="Q2" s="18" t="s">
        <v>13</v>
      </c>
      <c r="R2" s="17" t="s">
        <v>14</v>
      </c>
      <c r="S2" s="17" t="s">
        <v>15</v>
      </c>
      <c r="T2" s="18" t="s">
        <v>16</v>
      </c>
      <c r="U2" s="17" t="s">
        <v>17</v>
      </c>
      <c r="V2" s="17" t="s">
        <v>18</v>
      </c>
      <c r="W2" s="17" t="s">
        <v>19</v>
      </c>
      <c r="X2" s="17" t="s">
        <v>20</v>
      </c>
      <c r="Y2" s="16" t="s">
        <v>21</v>
      </c>
      <c r="Z2" s="15" t="s">
        <v>22</v>
      </c>
      <c r="AA2" s="14" t="s">
        <v>23</v>
      </c>
      <c r="AB2" s="13" t="s">
        <v>24</v>
      </c>
      <c r="AC2" s="12" t="s">
        <v>25</v>
      </c>
      <c r="AD2" s="15" t="s">
        <v>26</v>
      </c>
      <c r="AE2" s="14" t="s">
        <v>27</v>
      </c>
      <c r="AF2" s="13" t="s">
        <v>28</v>
      </c>
      <c r="AG2" s="12" t="s">
        <v>29</v>
      </c>
      <c r="AH2" s="41" t="s">
        <v>40</v>
      </c>
      <c r="AI2" s="11" t="s">
        <v>30</v>
      </c>
    </row>
    <row r="3" spans="1:35" ht="14.4" x14ac:dyDescent="0.3">
      <c r="A3" s="1" t="s">
        <v>87</v>
      </c>
      <c r="B3" s="22" t="s">
        <v>88</v>
      </c>
      <c r="C3" s="22">
        <v>1</v>
      </c>
      <c r="G3" s="3" t="s">
        <v>89</v>
      </c>
      <c r="H3" s="65" t="s">
        <v>55</v>
      </c>
      <c r="I3" s="1">
        <v>0</v>
      </c>
      <c r="J3" s="1">
        <v>1</v>
      </c>
      <c r="K3" s="1">
        <v>0</v>
      </c>
      <c r="L3" s="1">
        <v>0</v>
      </c>
      <c r="M3" s="1">
        <v>0</v>
      </c>
      <c r="N3" s="1">
        <v>0</v>
      </c>
      <c r="O3" s="1">
        <v>0</v>
      </c>
      <c r="P3" s="1">
        <v>0</v>
      </c>
      <c r="Q3" s="1">
        <v>1</v>
      </c>
      <c r="R3" s="2">
        <v>0</v>
      </c>
      <c r="S3" s="1">
        <v>0</v>
      </c>
      <c r="T3" s="1">
        <v>0</v>
      </c>
      <c r="U3" s="1">
        <v>0</v>
      </c>
      <c r="V3" s="1">
        <v>0</v>
      </c>
      <c r="W3" s="1">
        <v>0</v>
      </c>
      <c r="X3" s="2">
        <v>1</v>
      </c>
      <c r="Y3" s="2">
        <v>1</v>
      </c>
      <c r="Z3" s="1">
        <f t="shared" ref="Z3" si="0">SUM(J3:O3)</f>
        <v>1</v>
      </c>
      <c r="AA3" s="1">
        <f t="shared" ref="AA3" si="1">SUM(P3:T3)</f>
        <v>1</v>
      </c>
      <c r="AB3" s="1">
        <f>SUM(U3:Y3)</f>
        <v>2</v>
      </c>
      <c r="AC3" s="1">
        <f>SUM(Z3:AB3)</f>
        <v>4</v>
      </c>
      <c r="AD3" s="1">
        <f>Z3/6*5</f>
        <v>0.83333333333333326</v>
      </c>
      <c r="AE3" s="1">
        <f t="shared" ref="AE3:AE40" si="2">AA3/5*5</f>
        <v>1</v>
      </c>
      <c r="AF3" s="1">
        <f t="shared" ref="AF3:AF40" si="3" xml:space="preserve"> AB3/5*5</f>
        <v>2</v>
      </c>
      <c r="AG3" s="1">
        <f>SUM(AD3:AF3)/3</f>
        <v>1.2777777777777777</v>
      </c>
      <c r="AI3" s="4"/>
    </row>
    <row r="4" spans="1:35" s="37" customFormat="1" ht="14.4" x14ac:dyDescent="0.3">
      <c r="A4" s="1" t="s">
        <v>87</v>
      </c>
      <c r="B4" s="35" t="s">
        <v>90</v>
      </c>
      <c r="C4" s="35">
        <v>2</v>
      </c>
      <c r="D4" s="35"/>
      <c r="E4" s="35"/>
      <c r="F4" s="35" t="s">
        <v>91</v>
      </c>
      <c r="G4" s="36"/>
      <c r="H4" s="36"/>
      <c r="Y4" s="38"/>
      <c r="Z4" s="37">
        <f t="shared" ref="Z4:Z5" si="4">SUM(J4:O4)</f>
        <v>0</v>
      </c>
      <c r="AA4" s="37">
        <f t="shared" ref="AA4:AA5" si="5">SUM(P4:T4)</f>
        <v>0</v>
      </c>
      <c r="AB4" s="37">
        <f t="shared" ref="AB4:AB5" si="6">SUM(U4:Y4)</f>
        <v>0</v>
      </c>
      <c r="AC4" s="37">
        <f t="shared" ref="AC4:AC5" si="7">SUM(Z4:AB4)</f>
        <v>0</v>
      </c>
      <c r="AD4" s="1">
        <f t="shared" ref="AD4:AD40" si="8">Z4/6*5</f>
        <v>0</v>
      </c>
      <c r="AE4" s="1">
        <f t="shared" si="2"/>
        <v>0</v>
      </c>
      <c r="AF4" s="1">
        <f t="shared" si="3"/>
        <v>0</v>
      </c>
      <c r="AG4" s="1">
        <f t="shared" ref="AG4:AG39" si="9">SUM(AD4:AF4)/3</f>
        <v>0</v>
      </c>
    </row>
    <row r="5" spans="1:35" ht="14.4" x14ac:dyDescent="0.3">
      <c r="A5" s="1" t="s">
        <v>87</v>
      </c>
      <c r="B5" s="22" t="s">
        <v>92</v>
      </c>
      <c r="C5" s="22">
        <v>2</v>
      </c>
      <c r="D5" s="22">
        <v>1</v>
      </c>
      <c r="E5" s="22">
        <v>0</v>
      </c>
      <c r="F5" s="22">
        <v>2</v>
      </c>
      <c r="G5" s="3" t="s">
        <v>93</v>
      </c>
      <c r="H5" s="3" t="s">
        <v>46</v>
      </c>
      <c r="I5" s="1">
        <v>1</v>
      </c>
      <c r="J5" s="1">
        <v>1</v>
      </c>
      <c r="K5" s="1">
        <v>0</v>
      </c>
      <c r="L5" s="1">
        <v>1</v>
      </c>
      <c r="M5" s="1">
        <v>1</v>
      </c>
      <c r="N5" s="1">
        <v>1</v>
      </c>
      <c r="O5" s="1">
        <v>0</v>
      </c>
      <c r="P5" s="1">
        <v>0</v>
      </c>
      <c r="Q5" s="1">
        <v>0</v>
      </c>
      <c r="R5" s="1">
        <v>0</v>
      </c>
      <c r="S5" s="1">
        <v>0</v>
      </c>
      <c r="T5" s="1">
        <v>0</v>
      </c>
      <c r="U5" s="1">
        <v>0</v>
      </c>
      <c r="V5" s="1">
        <v>1</v>
      </c>
      <c r="W5" s="1">
        <v>0</v>
      </c>
      <c r="X5" s="1">
        <v>0</v>
      </c>
      <c r="Y5" s="2">
        <v>1</v>
      </c>
      <c r="Z5" s="1">
        <f t="shared" si="4"/>
        <v>4</v>
      </c>
      <c r="AA5" s="1">
        <f t="shared" si="5"/>
        <v>0</v>
      </c>
      <c r="AB5" s="1">
        <f t="shared" si="6"/>
        <v>2</v>
      </c>
      <c r="AC5" s="1">
        <f t="shared" si="7"/>
        <v>6</v>
      </c>
      <c r="AD5" s="1">
        <f t="shared" si="8"/>
        <v>3.333333333333333</v>
      </c>
      <c r="AE5" s="1">
        <f t="shared" si="2"/>
        <v>0</v>
      </c>
      <c r="AF5" s="1">
        <f t="shared" si="3"/>
        <v>2</v>
      </c>
      <c r="AG5" s="1">
        <f t="shared" si="9"/>
        <v>1.7777777777777777</v>
      </c>
    </row>
    <row r="6" spans="1:35" ht="14.4" x14ac:dyDescent="0.3">
      <c r="A6" s="1" t="s">
        <v>87</v>
      </c>
      <c r="B6" s="22" t="s">
        <v>94</v>
      </c>
      <c r="C6" s="22">
        <v>3</v>
      </c>
      <c r="G6" s="3" t="s">
        <v>43</v>
      </c>
      <c r="I6" s="1">
        <v>0</v>
      </c>
      <c r="J6" s="1">
        <v>1</v>
      </c>
      <c r="K6" s="1">
        <v>0</v>
      </c>
      <c r="L6" s="1">
        <v>0</v>
      </c>
      <c r="M6" s="1">
        <v>0</v>
      </c>
      <c r="N6" s="2">
        <v>0</v>
      </c>
      <c r="O6" s="1">
        <v>0</v>
      </c>
      <c r="P6" s="1">
        <v>0</v>
      </c>
      <c r="Q6" s="2">
        <v>1</v>
      </c>
      <c r="R6" s="1">
        <v>0</v>
      </c>
      <c r="S6" s="1">
        <v>0</v>
      </c>
      <c r="T6" s="1">
        <v>0</v>
      </c>
      <c r="U6" s="1">
        <v>0</v>
      </c>
      <c r="V6" s="1">
        <v>0</v>
      </c>
      <c r="W6" s="2">
        <v>0</v>
      </c>
      <c r="X6" s="2">
        <v>1</v>
      </c>
      <c r="Y6" s="2">
        <v>1</v>
      </c>
      <c r="Z6" s="1">
        <f t="shared" ref="Z6:Z10" si="10">SUM(J6:O6)</f>
        <v>1</v>
      </c>
      <c r="AA6" s="1">
        <f t="shared" ref="AA6:AA10" si="11">SUM(P6:T6)</f>
        <v>1</v>
      </c>
      <c r="AB6" s="1">
        <f t="shared" ref="AB6:AB10" si="12">SUM(U6:Y6)</f>
        <v>2</v>
      </c>
      <c r="AC6" s="1">
        <f t="shared" ref="AC6:AC10" si="13">SUM(Z6:AB6)</f>
        <v>4</v>
      </c>
      <c r="AD6" s="1">
        <f t="shared" si="8"/>
        <v>0.83333333333333326</v>
      </c>
      <c r="AE6" s="1">
        <f t="shared" si="2"/>
        <v>1</v>
      </c>
      <c r="AF6" s="1">
        <f t="shared" si="3"/>
        <v>2</v>
      </c>
      <c r="AG6" s="1">
        <f t="shared" si="9"/>
        <v>1.2777777777777777</v>
      </c>
      <c r="AI6" s="6"/>
    </row>
    <row r="7" spans="1:35" ht="14.4" x14ac:dyDescent="0.3">
      <c r="A7" s="1" t="s">
        <v>87</v>
      </c>
      <c r="B7" s="22" t="s">
        <v>95</v>
      </c>
      <c r="C7" s="22">
        <v>4</v>
      </c>
      <c r="G7" s="3" t="s">
        <v>48</v>
      </c>
      <c r="H7" s="65" t="s">
        <v>44</v>
      </c>
      <c r="I7" s="1">
        <v>3</v>
      </c>
      <c r="J7" s="1">
        <v>1</v>
      </c>
      <c r="K7" s="1">
        <v>1</v>
      </c>
      <c r="L7" s="1">
        <v>1</v>
      </c>
      <c r="M7" s="1">
        <v>1</v>
      </c>
      <c r="N7" s="2">
        <v>1</v>
      </c>
      <c r="O7" s="1">
        <v>1</v>
      </c>
      <c r="P7" s="1">
        <v>0</v>
      </c>
      <c r="Q7" s="1">
        <v>1</v>
      </c>
      <c r="R7" s="1">
        <v>1</v>
      </c>
      <c r="S7" s="1">
        <v>0</v>
      </c>
      <c r="T7" s="1">
        <v>1</v>
      </c>
      <c r="U7" s="1">
        <v>1</v>
      </c>
      <c r="V7" s="1">
        <v>1</v>
      </c>
      <c r="W7" s="2">
        <v>0</v>
      </c>
      <c r="X7" s="2">
        <v>0</v>
      </c>
      <c r="Y7" s="2">
        <v>0</v>
      </c>
      <c r="Z7" s="1">
        <f t="shared" si="10"/>
        <v>6</v>
      </c>
      <c r="AA7" s="1">
        <f t="shared" si="11"/>
        <v>3</v>
      </c>
      <c r="AB7" s="1">
        <f t="shared" si="12"/>
        <v>2</v>
      </c>
      <c r="AC7" s="1">
        <f t="shared" si="13"/>
        <v>11</v>
      </c>
      <c r="AD7" s="1">
        <f t="shared" si="8"/>
        <v>5</v>
      </c>
      <c r="AE7" s="1">
        <f t="shared" si="2"/>
        <v>3</v>
      </c>
      <c r="AF7" s="1">
        <f t="shared" si="3"/>
        <v>2</v>
      </c>
      <c r="AG7" s="1">
        <f t="shared" si="9"/>
        <v>3.3333333333333335</v>
      </c>
      <c r="AI7" s="4"/>
    </row>
    <row r="8" spans="1:35" ht="14.4" x14ac:dyDescent="0.3">
      <c r="A8" s="1" t="s">
        <v>87</v>
      </c>
      <c r="B8" s="22" t="s">
        <v>96</v>
      </c>
      <c r="C8" s="22">
        <v>5</v>
      </c>
      <c r="G8" s="3" t="s">
        <v>43</v>
      </c>
      <c r="I8" s="1">
        <v>1</v>
      </c>
      <c r="J8" s="1">
        <v>1</v>
      </c>
      <c r="K8" s="1">
        <v>1</v>
      </c>
      <c r="L8" s="1">
        <v>0</v>
      </c>
      <c r="M8" s="1">
        <v>1</v>
      </c>
      <c r="N8" s="2">
        <v>1</v>
      </c>
      <c r="O8" s="1">
        <v>0</v>
      </c>
      <c r="P8" s="1">
        <v>0</v>
      </c>
      <c r="Q8" s="1">
        <v>0</v>
      </c>
      <c r="R8" s="1">
        <v>1</v>
      </c>
      <c r="S8" s="1">
        <v>0</v>
      </c>
      <c r="T8" s="1">
        <v>0</v>
      </c>
      <c r="U8" s="1">
        <v>0</v>
      </c>
      <c r="V8" s="1">
        <v>1</v>
      </c>
      <c r="W8" s="2">
        <v>0</v>
      </c>
      <c r="X8" s="2">
        <v>0</v>
      </c>
      <c r="Y8" s="2">
        <v>0</v>
      </c>
      <c r="Z8" s="1">
        <f t="shared" si="10"/>
        <v>4</v>
      </c>
      <c r="AA8" s="1">
        <f t="shared" si="11"/>
        <v>1</v>
      </c>
      <c r="AB8" s="1">
        <f t="shared" si="12"/>
        <v>1</v>
      </c>
      <c r="AC8" s="1">
        <f t="shared" si="13"/>
        <v>6</v>
      </c>
      <c r="AD8" s="1">
        <f t="shared" si="8"/>
        <v>3.333333333333333</v>
      </c>
      <c r="AE8" s="1">
        <f t="shared" si="2"/>
        <v>1</v>
      </c>
      <c r="AF8" s="1">
        <f t="shared" si="3"/>
        <v>1</v>
      </c>
      <c r="AG8" s="1">
        <f t="shared" si="9"/>
        <v>1.7777777777777777</v>
      </c>
      <c r="AI8" s="5"/>
    </row>
    <row r="9" spans="1:35" ht="14.4" x14ac:dyDescent="0.3">
      <c r="A9" s="1" t="s">
        <v>87</v>
      </c>
      <c r="B9" s="22" t="s">
        <v>97</v>
      </c>
      <c r="C9" s="22">
        <v>6</v>
      </c>
      <c r="G9" s="3" t="s">
        <v>89</v>
      </c>
      <c r="H9" s="65" t="s">
        <v>98</v>
      </c>
      <c r="I9" s="1">
        <v>2</v>
      </c>
      <c r="J9" s="1">
        <v>0</v>
      </c>
      <c r="K9" s="1">
        <v>1</v>
      </c>
      <c r="L9" s="1">
        <v>0</v>
      </c>
      <c r="M9" s="1">
        <v>1</v>
      </c>
      <c r="N9" s="2">
        <v>0</v>
      </c>
      <c r="O9" s="1">
        <v>0</v>
      </c>
      <c r="P9" s="1">
        <v>0</v>
      </c>
      <c r="Q9" s="1">
        <v>0</v>
      </c>
      <c r="R9" s="1">
        <v>0</v>
      </c>
      <c r="S9" s="1">
        <v>0</v>
      </c>
      <c r="T9" s="1">
        <v>0</v>
      </c>
      <c r="U9" s="1">
        <v>0</v>
      </c>
      <c r="V9" s="1">
        <v>0</v>
      </c>
      <c r="W9" s="2">
        <v>0</v>
      </c>
      <c r="X9" s="2">
        <v>0</v>
      </c>
      <c r="Y9" s="2">
        <v>1</v>
      </c>
      <c r="Z9" s="1">
        <f t="shared" si="10"/>
        <v>2</v>
      </c>
      <c r="AA9" s="1">
        <f t="shared" si="11"/>
        <v>0</v>
      </c>
      <c r="AB9" s="1">
        <f t="shared" si="12"/>
        <v>1</v>
      </c>
      <c r="AC9" s="1">
        <f t="shared" si="13"/>
        <v>3</v>
      </c>
      <c r="AD9" s="1">
        <f t="shared" si="8"/>
        <v>1.6666666666666665</v>
      </c>
      <c r="AE9" s="1">
        <f t="shared" si="2"/>
        <v>0</v>
      </c>
      <c r="AF9" s="1">
        <f t="shared" si="3"/>
        <v>1</v>
      </c>
      <c r="AG9" s="1">
        <f t="shared" si="9"/>
        <v>0.88888888888888884</v>
      </c>
      <c r="AI9" s="4"/>
    </row>
    <row r="10" spans="1:35" ht="14.4" x14ac:dyDescent="0.3">
      <c r="A10" s="1" t="s">
        <v>87</v>
      </c>
      <c r="B10" s="22" t="s">
        <v>99</v>
      </c>
      <c r="C10" s="22">
        <v>7</v>
      </c>
      <c r="G10" s="3" t="s">
        <v>89</v>
      </c>
      <c r="I10" s="1">
        <v>2</v>
      </c>
      <c r="J10" s="1">
        <v>0</v>
      </c>
      <c r="K10" s="1">
        <v>1</v>
      </c>
      <c r="L10" s="1">
        <v>0</v>
      </c>
      <c r="M10" s="1">
        <v>1</v>
      </c>
      <c r="N10" s="1">
        <v>0</v>
      </c>
      <c r="O10" s="1">
        <v>0</v>
      </c>
      <c r="P10" s="1">
        <v>0</v>
      </c>
      <c r="Q10" s="1">
        <v>0</v>
      </c>
      <c r="R10" s="1">
        <v>0</v>
      </c>
      <c r="S10" s="1">
        <v>0</v>
      </c>
      <c r="T10" s="1">
        <v>0</v>
      </c>
      <c r="U10" s="1">
        <v>1</v>
      </c>
      <c r="V10" s="1">
        <v>0</v>
      </c>
      <c r="W10" s="1">
        <v>0</v>
      </c>
      <c r="X10" s="1">
        <v>0</v>
      </c>
      <c r="Y10" s="2">
        <v>1</v>
      </c>
      <c r="Z10" s="1">
        <f t="shared" si="10"/>
        <v>2</v>
      </c>
      <c r="AA10" s="1">
        <f t="shared" si="11"/>
        <v>0</v>
      </c>
      <c r="AB10" s="1">
        <f t="shared" si="12"/>
        <v>2</v>
      </c>
      <c r="AC10" s="1">
        <f t="shared" si="13"/>
        <v>4</v>
      </c>
      <c r="AD10" s="1">
        <f t="shared" si="8"/>
        <v>1.6666666666666665</v>
      </c>
      <c r="AE10" s="1">
        <f t="shared" si="2"/>
        <v>0</v>
      </c>
      <c r="AF10" s="1">
        <f t="shared" si="3"/>
        <v>2</v>
      </c>
      <c r="AG10" s="1">
        <f t="shared" si="9"/>
        <v>1.2222222222222221</v>
      </c>
    </row>
    <row r="11" spans="1:35" ht="14.4" x14ac:dyDescent="0.3">
      <c r="A11" s="1" t="s">
        <v>87</v>
      </c>
      <c r="B11" s="22" t="s">
        <v>100</v>
      </c>
      <c r="C11" s="22">
        <v>8</v>
      </c>
      <c r="G11" s="3" t="s">
        <v>48</v>
      </c>
      <c r="H11" s="65" t="s">
        <v>55</v>
      </c>
      <c r="I11" s="1">
        <v>3</v>
      </c>
      <c r="J11" s="1">
        <v>1</v>
      </c>
      <c r="K11" s="1">
        <v>1</v>
      </c>
      <c r="L11" s="1">
        <v>0</v>
      </c>
      <c r="M11" s="1">
        <v>1</v>
      </c>
      <c r="N11" s="1">
        <v>1</v>
      </c>
      <c r="O11" s="1">
        <v>0</v>
      </c>
      <c r="P11" s="1">
        <v>1</v>
      </c>
      <c r="Q11" s="1">
        <v>0</v>
      </c>
      <c r="R11" s="1">
        <v>1</v>
      </c>
      <c r="S11" s="1">
        <v>0</v>
      </c>
      <c r="T11" s="1">
        <v>0</v>
      </c>
      <c r="U11" s="1">
        <v>0</v>
      </c>
      <c r="V11" s="1">
        <v>1</v>
      </c>
      <c r="W11" s="1">
        <v>0</v>
      </c>
      <c r="X11" s="1">
        <v>0</v>
      </c>
      <c r="Y11" s="2">
        <v>1</v>
      </c>
      <c r="Z11" s="1">
        <v>4</v>
      </c>
      <c r="AA11" s="1">
        <v>2</v>
      </c>
      <c r="AB11" s="1">
        <v>2</v>
      </c>
      <c r="AC11" s="1">
        <v>8</v>
      </c>
      <c r="AD11" s="1">
        <f t="shared" si="8"/>
        <v>3.333333333333333</v>
      </c>
      <c r="AE11" s="1">
        <f t="shared" si="2"/>
        <v>2</v>
      </c>
      <c r="AF11" s="1">
        <f t="shared" si="3"/>
        <v>2</v>
      </c>
      <c r="AG11" s="1">
        <f t="shared" si="9"/>
        <v>2.4444444444444442</v>
      </c>
    </row>
    <row r="12" spans="1:35" ht="14.4" x14ac:dyDescent="0.3">
      <c r="A12" s="1" t="s">
        <v>87</v>
      </c>
      <c r="B12" s="22" t="s">
        <v>101</v>
      </c>
      <c r="C12" s="22">
        <v>9</v>
      </c>
      <c r="G12" s="3" t="s">
        <v>48</v>
      </c>
      <c r="I12" s="1">
        <v>3</v>
      </c>
      <c r="J12" s="1">
        <v>1</v>
      </c>
      <c r="K12" s="1">
        <v>1</v>
      </c>
      <c r="L12" s="1">
        <v>0</v>
      </c>
      <c r="M12" s="1">
        <v>1</v>
      </c>
      <c r="N12" s="1">
        <v>1</v>
      </c>
      <c r="O12" s="1">
        <v>0</v>
      </c>
      <c r="P12" s="1">
        <v>1</v>
      </c>
      <c r="Q12" s="1">
        <v>0</v>
      </c>
      <c r="R12" s="1">
        <v>1</v>
      </c>
      <c r="S12" s="1">
        <v>0</v>
      </c>
      <c r="T12" s="1">
        <v>0</v>
      </c>
      <c r="U12" s="1">
        <v>0</v>
      </c>
      <c r="V12" s="1">
        <v>1</v>
      </c>
      <c r="W12" s="1">
        <v>0</v>
      </c>
      <c r="X12" s="1">
        <v>0</v>
      </c>
      <c r="Y12" s="2">
        <v>1</v>
      </c>
      <c r="Z12" s="1">
        <f t="shared" ref="Z12:Z17" si="14">SUM(J12:O12)</f>
        <v>4</v>
      </c>
      <c r="AA12" s="1">
        <f t="shared" ref="AA12:AA17" si="15">SUM(P12:T12)</f>
        <v>2</v>
      </c>
      <c r="AB12" s="1">
        <f t="shared" ref="AB12:AB17" si="16">SUM(U12:Y12)</f>
        <v>2</v>
      </c>
      <c r="AC12" s="1">
        <f t="shared" ref="AC12:AC17" si="17">SUM(Z12:AB12)</f>
        <v>8</v>
      </c>
      <c r="AD12" s="1">
        <f t="shared" si="8"/>
        <v>3.333333333333333</v>
      </c>
      <c r="AE12" s="1">
        <f t="shared" si="2"/>
        <v>2</v>
      </c>
      <c r="AF12" s="1">
        <f t="shared" si="3"/>
        <v>2</v>
      </c>
      <c r="AG12" s="1">
        <f t="shared" si="9"/>
        <v>2.4444444444444442</v>
      </c>
    </row>
    <row r="13" spans="1:35" ht="14.4" x14ac:dyDescent="0.3">
      <c r="A13" s="1" t="s">
        <v>87</v>
      </c>
      <c r="B13" s="22" t="s">
        <v>102</v>
      </c>
      <c r="C13" s="22">
        <v>10</v>
      </c>
      <c r="G13" s="3" t="s">
        <v>89</v>
      </c>
      <c r="I13" s="1">
        <v>2</v>
      </c>
      <c r="J13" s="1">
        <v>1</v>
      </c>
      <c r="K13" s="1">
        <v>1</v>
      </c>
      <c r="L13" s="1">
        <v>0</v>
      </c>
      <c r="M13" s="1">
        <v>1</v>
      </c>
      <c r="N13" s="1">
        <v>1</v>
      </c>
      <c r="O13" s="1">
        <v>0</v>
      </c>
      <c r="P13" s="1">
        <v>0</v>
      </c>
      <c r="Q13" s="1">
        <v>0</v>
      </c>
      <c r="R13" s="1">
        <v>0</v>
      </c>
      <c r="S13" s="1">
        <v>0</v>
      </c>
      <c r="T13" s="1">
        <v>0</v>
      </c>
      <c r="U13" s="1">
        <v>0</v>
      </c>
      <c r="V13" s="1">
        <v>1</v>
      </c>
      <c r="W13" s="1">
        <v>0</v>
      </c>
      <c r="X13" s="1">
        <v>0</v>
      </c>
      <c r="Y13" s="2">
        <v>1</v>
      </c>
      <c r="Z13" s="1">
        <f t="shared" si="14"/>
        <v>4</v>
      </c>
      <c r="AA13" s="1">
        <f t="shared" si="15"/>
        <v>0</v>
      </c>
      <c r="AB13" s="1">
        <f t="shared" si="16"/>
        <v>2</v>
      </c>
      <c r="AC13" s="1">
        <f t="shared" si="17"/>
        <v>6</v>
      </c>
      <c r="AD13" s="1">
        <f t="shared" si="8"/>
        <v>3.333333333333333</v>
      </c>
      <c r="AE13" s="1">
        <f t="shared" si="2"/>
        <v>0</v>
      </c>
      <c r="AF13" s="1">
        <f t="shared" si="3"/>
        <v>2</v>
      </c>
      <c r="AG13" s="1">
        <f t="shared" si="9"/>
        <v>1.7777777777777777</v>
      </c>
    </row>
    <row r="14" spans="1:35" ht="14.4" x14ac:dyDescent="0.3">
      <c r="A14" s="1" t="s">
        <v>87</v>
      </c>
      <c r="B14" s="22" t="s">
        <v>103</v>
      </c>
      <c r="C14" s="22">
        <v>11</v>
      </c>
      <c r="G14" s="3" t="s">
        <v>89</v>
      </c>
      <c r="H14" s="3" t="s">
        <v>44</v>
      </c>
      <c r="I14" s="1">
        <v>1</v>
      </c>
      <c r="J14" s="1">
        <v>1</v>
      </c>
      <c r="K14" s="1">
        <v>1</v>
      </c>
      <c r="L14" s="1">
        <v>1</v>
      </c>
      <c r="M14" s="1">
        <v>0</v>
      </c>
      <c r="N14" s="1">
        <v>0</v>
      </c>
      <c r="O14" s="1">
        <v>0</v>
      </c>
      <c r="P14" s="1">
        <v>0</v>
      </c>
      <c r="Q14" s="1">
        <v>1</v>
      </c>
      <c r="R14" s="1">
        <v>0</v>
      </c>
      <c r="S14" s="1">
        <v>0</v>
      </c>
      <c r="T14" s="1">
        <v>0</v>
      </c>
      <c r="U14" s="1">
        <v>0</v>
      </c>
      <c r="V14" s="1">
        <v>1</v>
      </c>
      <c r="W14" s="1">
        <v>0</v>
      </c>
      <c r="X14" s="1">
        <v>1</v>
      </c>
      <c r="Y14" s="2">
        <v>1</v>
      </c>
      <c r="Z14" s="1">
        <f t="shared" si="14"/>
        <v>3</v>
      </c>
      <c r="AA14" s="1">
        <f t="shared" si="15"/>
        <v>1</v>
      </c>
      <c r="AB14" s="1">
        <f t="shared" si="16"/>
        <v>3</v>
      </c>
      <c r="AC14" s="1">
        <f t="shared" si="17"/>
        <v>7</v>
      </c>
      <c r="AD14" s="1">
        <f t="shared" si="8"/>
        <v>2.5</v>
      </c>
      <c r="AE14" s="1">
        <f t="shared" si="2"/>
        <v>1</v>
      </c>
      <c r="AF14" s="1">
        <f t="shared" si="3"/>
        <v>3</v>
      </c>
      <c r="AG14" s="1">
        <f t="shared" si="9"/>
        <v>2.1666666666666665</v>
      </c>
    </row>
    <row r="15" spans="1:35" ht="14.4" x14ac:dyDescent="0.3">
      <c r="A15" s="1" t="s">
        <v>87</v>
      </c>
      <c r="B15" s="22" t="s">
        <v>104</v>
      </c>
      <c r="C15" s="22">
        <v>12</v>
      </c>
      <c r="G15" s="3" t="s">
        <v>89</v>
      </c>
      <c r="I15" s="1">
        <v>1</v>
      </c>
      <c r="J15" s="1">
        <v>1</v>
      </c>
      <c r="K15" s="1">
        <v>1</v>
      </c>
      <c r="L15" s="1">
        <v>0</v>
      </c>
      <c r="M15" s="1">
        <v>0</v>
      </c>
      <c r="N15" s="1">
        <v>0</v>
      </c>
      <c r="O15" s="1">
        <v>0</v>
      </c>
      <c r="P15" s="1">
        <v>0</v>
      </c>
      <c r="Q15" s="1">
        <v>1</v>
      </c>
      <c r="R15" s="1">
        <v>0</v>
      </c>
      <c r="S15" s="1">
        <v>1</v>
      </c>
      <c r="T15" s="1">
        <v>0</v>
      </c>
      <c r="U15" s="1">
        <v>0</v>
      </c>
      <c r="V15" s="1">
        <v>1</v>
      </c>
      <c r="W15" s="1">
        <v>0</v>
      </c>
      <c r="X15" s="1">
        <v>1</v>
      </c>
      <c r="Y15" s="2">
        <v>1</v>
      </c>
      <c r="Z15" s="1">
        <f t="shared" si="14"/>
        <v>2</v>
      </c>
      <c r="AA15" s="1">
        <f t="shared" si="15"/>
        <v>2</v>
      </c>
      <c r="AB15" s="1">
        <f t="shared" si="16"/>
        <v>3</v>
      </c>
      <c r="AC15" s="1">
        <f t="shared" si="17"/>
        <v>7</v>
      </c>
      <c r="AD15" s="1">
        <f t="shared" si="8"/>
        <v>1.6666666666666665</v>
      </c>
      <c r="AE15" s="1">
        <f t="shared" si="2"/>
        <v>2</v>
      </c>
      <c r="AF15" s="1">
        <f t="shared" si="3"/>
        <v>3</v>
      </c>
      <c r="AG15" s="1">
        <f t="shared" si="9"/>
        <v>2.2222222222222219</v>
      </c>
    </row>
    <row r="16" spans="1:35" ht="14.4" x14ac:dyDescent="0.3">
      <c r="A16" s="1" t="s">
        <v>87</v>
      </c>
      <c r="B16" s="22" t="s">
        <v>105</v>
      </c>
      <c r="C16" s="22">
        <v>13</v>
      </c>
      <c r="G16" s="3" t="s">
        <v>48</v>
      </c>
      <c r="I16" s="1">
        <v>1</v>
      </c>
      <c r="J16" s="1">
        <v>1</v>
      </c>
      <c r="K16" s="1">
        <v>1</v>
      </c>
      <c r="L16" s="1">
        <v>0</v>
      </c>
      <c r="M16" s="1">
        <v>0</v>
      </c>
      <c r="N16" s="1">
        <v>0</v>
      </c>
      <c r="O16" s="1">
        <v>0</v>
      </c>
      <c r="P16" s="1">
        <v>0</v>
      </c>
      <c r="Q16" s="1">
        <v>1</v>
      </c>
      <c r="R16" s="1">
        <v>0</v>
      </c>
      <c r="S16" s="1">
        <v>0</v>
      </c>
      <c r="T16" s="1">
        <v>0</v>
      </c>
      <c r="U16" s="1">
        <v>0</v>
      </c>
      <c r="V16" s="1">
        <v>1</v>
      </c>
      <c r="W16" s="1">
        <v>0</v>
      </c>
      <c r="X16" s="1">
        <v>1</v>
      </c>
      <c r="Y16" s="2">
        <v>1</v>
      </c>
      <c r="Z16" s="1">
        <f t="shared" si="14"/>
        <v>2</v>
      </c>
      <c r="AA16" s="1">
        <f t="shared" si="15"/>
        <v>1</v>
      </c>
      <c r="AB16" s="1">
        <f t="shared" si="16"/>
        <v>3</v>
      </c>
      <c r="AC16" s="1">
        <f t="shared" si="17"/>
        <v>6</v>
      </c>
      <c r="AD16" s="1">
        <f t="shared" si="8"/>
        <v>1.6666666666666665</v>
      </c>
      <c r="AE16" s="1">
        <f t="shared" si="2"/>
        <v>1</v>
      </c>
      <c r="AF16" s="1">
        <f t="shared" si="3"/>
        <v>3</v>
      </c>
      <c r="AG16" s="1">
        <f t="shared" si="9"/>
        <v>1.8888888888888886</v>
      </c>
    </row>
    <row r="17" spans="1:34" ht="14.4" x14ac:dyDescent="0.3">
      <c r="A17" s="1" t="s">
        <v>87</v>
      </c>
      <c r="B17" s="22" t="s">
        <v>106</v>
      </c>
      <c r="C17" s="22">
        <v>14</v>
      </c>
      <c r="G17" s="3" t="s">
        <v>89</v>
      </c>
      <c r="I17" s="1">
        <v>1</v>
      </c>
      <c r="J17" s="1">
        <v>0</v>
      </c>
      <c r="K17" s="1">
        <v>1</v>
      </c>
      <c r="L17" s="1">
        <v>0</v>
      </c>
      <c r="M17" s="1">
        <v>1</v>
      </c>
      <c r="N17" s="1">
        <v>0</v>
      </c>
      <c r="O17" s="1">
        <v>0</v>
      </c>
      <c r="P17" s="1">
        <v>0</v>
      </c>
      <c r="Q17" s="1">
        <v>0</v>
      </c>
      <c r="R17" s="1">
        <v>0</v>
      </c>
      <c r="S17" s="1">
        <v>0</v>
      </c>
      <c r="T17" s="1">
        <v>0</v>
      </c>
      <c r="U17" s="1">
        <v>0</v>
      </c>
      <c r="V17" s="1">
        <v>1</v>
      </c>
      <c r="W17" s="1">
        <v>0</v>
      </c>
      <c r="X17" s="1">
        <v>0</v>
      </c>
      <c r="Y17" s="2">
        <v>1</v>
      </c>
      <c r="Z17" s="1">
        <f t="shared" si="14"/>
        <v>2</v>
      </c>
      <c r="AA17" s="1">
        <f t="shared" si="15"/>
        <v>0</v>
      </c>
      <c r="AB17" s="1">
        <f t="shared" si="16"/>
        <v>2</v>
      </c>
      <c r="AC17" s="1">
        <f t="shared" si="17"/>
        <v>4</v>
      </c>
      <c r="AD17" s="1">
        <f t="shared" si="8"/>
        <v>1.6666666666666665</v>
      </c>
      <c r="AE17" s="1">
        <f t="shared" si="2"/>
        <v>0</v>
      </c>
      <c r="AF17" s="1">
        <f t="shared" si="3"/>
        <v>2</v>
      </c>
      <c r="AG17" s="1">
        <f t="shared" si="9"/>
        <v>1.2222222222222221</v>
      </c>
    </row>
    <row r="18" spans="1:34" ht="14.4" x14ac:dyDescent="0.3">
      <c r="A18" s="1" t="s">
        <v>87</v>
      </c>
      <c r="B18" s="22" t="s">
        <v>107</v>
      </c>
      <c r="C18" s="22">
        <v>15</v>
      </c>
      <c r="G18" s="3" t="s">
        <v>89</v>
      </c>
      <c r="I18" s="1">
        <v>1</v>
      </c>
      <c r="J18" s="1">
        <v>1</v>
      </c>
      <c r="K18" s="1">
        <v>1</v>
      </c>
      <c r="L18" s="1">
        <v>1</v>
      </c>
      <c r="M18" s="1">
        <v>0</v>
      </c>
      <c r="N18" s="2">
        <v>0</v>
      </c>
      <c r="O18" s="1">
        <v>0</v>
      </c>
      <c r="P18" s="1">
        <v>0</v>
      </c>
      <c r="Q18" s="2">
        <v>1</v>
      </c>
      <c r="R18" s="2">
        <v>0</v>
      </c>
      <c r="S18" s="1">
        <v>0</v>
      </c>
      <c r="T18" s="1">
        <v>0</v>
      </c>
      <c r="U18" s="2">
        <v>0</v>
      </c>
      <c r="V18" s="1">
        <v>1</v>
      </c>
      <c r="W18" s="2">
        <v>0</v>
      </c>
      <c r="X18" s="2">
        <v>1</v>
      </c>
      <c r="Y18" s="2">
        <v>1</v>
      </c>
      <c r="Z18" s="1">
        <f t="shared" ref="Z18:Z23" si="18">SUM(J18:O18)</f>
        <v>3</v>
      </c>
      <c r="AA18" s="1">
        <f t="shared" ref="AA18:AA21" si="19">SUM(P18:T18)</f>
        <v>1</v>
      </c>
      <c r="AB18" s="1">
        <f t="shared" ref="AB18:AB23" si="20">SUM(U18:Y18)</f>
        <v>3</v>
      </c>
      <c r="AC18" s="1">
        <f t="shared" ref="AC18:AC23" si="21">SUM(Z18:AB18)</f>
        <v>7</v>
      </c>
      <c r="AD18" s="1">
        <f t="shared" si="8"/>
        <v>2.5</v>
      </c>
      <c r="AE18" s="1">
        <f t="shared" si="2"/>
        <v>1</v>
      </c>
      <c r="AF18" s="1">
        <f t="shared" si="3"/>
        <v>3</v>
      </c>
      <c r="AG18" s="1">
        <f t="shared" si="9"/>
        <v>2.1666666666666665</v>
      </c>
    </row>
    <row r="19" spans="1:34" ht="14.4" x14ac:dyDescent="0.3">
      <c r="A19" s="1" t="s">
        <v>87</v>
      </c>
      <c r="B19" s="22" t="s">
        <v>108</v>
      </c>
      <c r="C19" s="22">
        <v>16</v>
      </c>
      <c r="G19" s="3" t="s">
        <v>43</v>
      </c>
      <c r="I19" s="1">
        <v>1</v>
      </c>
      <c r="J19" s="1">
        <v>1</v>
      </c>
      <c r="K19" s="1">
        <v>0</v>
      </c>
      <c r="L19" s="1">
        <v>1</v>
      </c>
      <c r="M19" s="1">
        <v>1</v>
      </c>
      <c r="N19" s="1">
        <v>0</v>
      </c>
      <c r="O19" s="1">
        <v>0</v>
      </c>
      <c r="P19" s="1">
        <v>1</v>
      </c>
      <c r="Q19" s="1">
        <v>1</v>
      </c>
      <c r="R19" s="1">
        <v>0</v>
      </c>
      <c r="S19" s="1">
        <v>0</v>
      </c>
      <c r="T19" s="1">
        <v>0</v>
      </c>
      <c r="U19" s="1">
        <v>0</v>
      </c>
      <c r="V19" s="1">
        <v>0</v>
      </c>
      <c r="W19" s="1">
        <v>0</v>
      </c>
      <c r="X19" s="1">
        <v>1</v>
      </c>
      <c r="Y19" s="2">
        <v>1</v>
      </c>
      <c r="Z19" s="1">
        <f t="shared" si="18"/>
        <v>3</v>
      </c>
      <c r="AA19" s="1">
        <f t="shared" si="19"/>
        <v>2</v>
      </c>
      <c r="AB19" s="1">
        <f t="shared" si="20"/>
        <v>2</v>
      </c>
      <c r="AC19" s="1">
        <f t="shared" si="21"/>
        <v>7</v>
      </c>
      <c r="AD19" s="1">
        <f t="shared" si="8"/>
        <v>2.5</v>
      </c>
      <c r="AE19" s="1">
        <f t="shared" si="2"/>
        <v>2</v>
      </c>
      <c r="AF19" s="1">
        <f t="shared" si="3"/>
        <v>2</v>
      </c>
      <c r="AG19" s="1">
        <f t="shared" si="9"/>
        <v>2.1666666666666665</v>
      </c>
    </row>
    <row r="20" spans="1:34" ht="14.4" x14ac:dyDescent="0.3">
      <c r="A20" s="1" t="s">
        <v>87</v>
      </c>
      <c r="B20" s="22" t="s">
        <v>109</v>
      </c>
      <c r="C20" s="22">
        <v>17</v>
      </c>
      <c r="G20" s="3" t="s">
        <v>48</v>
      </c>
      <c r="H20" s="65" t="s">
        <v>44</v>
      </c>
      <c r="I20" s="1">
        <v>2</v>
      </c>
      <c r="J20" s="1">
        <v>1</v>
      </c>
      <c r="K20" s="1">
        <v>1</v>
      </c>
      <c r="L20" s="1">
        <v>0</v>
      </c>
      <c r="M20" s="1">
        <v>1</v>
      </c>
      <c r="N20" s="1">
        <v>1</v>
      </c>
      <c r="O20" s="1">
        <v>0</v>
      </c>
      <c r="P20" s="1">
        <v>0</v>
      </c>
      <c r="Q20" s="1">
        <v>0</v>
      </c>
      <c r="R20" s="1">
        <v>1</v>
      </c>
      <c r="S20" s="1">
        <v>0</v>
      </c>
      <c r="T20" s="1">
        <v>0</v>
      </c>
      <c r="U20" s="1">
        <v>0</v>
      </c>
      <c r="V20" s="1">
        <v>1</v>
      </c>
      <c r="W20" s="1">
        <v>0</v>
      </c>
      <c r="X20" s="1">
        <v>0</v>
      </c>
      <c r="Y20" s="2">
        <v>1</v>
      </c>
      <c r="Z20" s="1">
        <f t="shared" si="18"/>
        <v>4</v>
      </c>
      <c r="AA20" s="1">
        <f t="shared" si="19"/>
        <v>1</v>
      </c>
      <c r="AB20" s="1">
        <f t="shared" si="20"/>
        <v>2</v>
      </c>
      <c r="AC20" s="1">
        <f t="shared" si="21"/>
        <v>7</v>
      </c>
      <c r="AD20" s="1">
        <f t="shared" si="8"/>
        <v>3.333333333333333</v>
      </c>
      <c r="AE20" s="1">
        <f t="shared" si="2"/>
        <v>1</v>
      </c>
      <c r="AF20" s="1">
        <f t="shared" si="3"/>
        <v>2</v>
      </c>
      <c r="AG20" s="1">
        <f t="shared" si="9"/>
        <v>2.1111111111111112</v>
      </c>
    </row>
    <row r="21" spans="1:34" ht="14.4" x14ac:dyDescent="0.3">
      <c r="A21" s="1" t="s">
        <v>87</v>
      </c>
      <c r="B21" s="22" t="s">
        <v>110</v>
      </c>
      <c r="C21" s="22">
        <v>18</v>
      </c>
      <c r="G21" s="3" t="s">
        <v>89</v>
      </c>
      <c r="I21" s="1">
        <v>1</v>
      </c>
      <c r="J21" s="1">
        <v>1</v>
      </c>
      <c r="K21" s="1">
        <v>1</v>
      </c>
      <c r="L21" s="1">
        <v>1</v>
      </c>
      <c r="M21" s="1">
        <v>0</v>
      </c>
      <c r="N21" s="1">
        <v>0</v>
      </c>
      <c r="O21" s="1">
        <v>0</v>
      </c>
      <c r="P21" s="1">
        <v>0</v>
      </c>
      <c r="Q21" s="1">
        <v>1</v>
      </c>
      <c r="R21" s="1">
        <v>0</v>
      </c>
      <c r="S21" s="1">
        <v>0</v>
      </c>
      <c r="T21" s="1">
        <v>0</v>
      </c>
      <c r="U21" s="1">
        <v>0</v>
      </c>
      <c r="V21" s="1">
        <v>1</v>
      </c>
      <c r="W21" s="1">
        <v>0</v>
      </c>
      <c r="X21" s="1">
        <v>1</v>
      </c>
      <c r="Y21" s="2">
        <v>0</v>
      </c>
      <c r="Z21" s="1">
        <f t="shared" si="18"/>
        <v>3</v>
      </c>
      <c r="AA21" s="1">
        <f t="shared" si="19"/>
        <v>1</v>
      </c>
      <c r="AB21" s="1">
        <f t="shared" si="20"/>
        <v>2</v>
      </c>
      <c r="AC21" s="1">
        <f t="shared" si="21"/>
        <v>6</v>
      </c>
      <c r="AD21" s="1">
        <f t="shared" si="8"/>
        <v>2.5</v>
      </c>
      <c r="AE21" s="1">
        <f t="shared" si="2"/>
        <v>1</v>
      </c>
      <c r="AF21" s="1">
        <f t="shared" si="3"/>
        <v>2</v>
      </c>
      <c r="AG21" s="1">
        <f t="shared" si="9"/>
        <v>1.8333333333333333</v>
      </c>
    </row>
    <row r="22" spans="1:34" ht="14.4" x14ac:dyDescent="0.3">
      <c r="A22" s="1" t="s">
        <v>87</v>
      </c>
      <c r="B22" s="22" t="s">
        <v>111</v>
      </c>
      <c r="C22" s="22">
        <v>19</v>
      </c>
      <c r="G22" s="3" t="s">
        <v>48</v>
      </c>
      <c r="I22" s="1">
        <v>2</v>
      </c>
      <c r="J22" s="1">
        <v>1</v>
      </c>
      <c r="K22" s="1">
        <v>1</v>
      </c>
      <c r="L22" s="1">
        <v>0</v>
      </c>
      <c r="M22" s="1">
        <v>1</v>
      </c>
      <c r="N22" s="1">
        <v>0</v>
      </c>
      <c r="O22" s="1">
        <v>0</v>
      </c>
      <c r="P22" s="1">
        <v>1</v>
      </c>
      <c r="Q22" s="1">
        <v>1</v>
      </c>
      <c r="R22" s="1">
        <v>0</v>
      </c>
      <c r="S22" s="1">
        <v>0</v>
      </c>
      <c r="T22" s="1">
        <v>0</v>
      </c>
      <c r="U22" s="1">
        <v>0</v>
      </c>
      <c r="V22" s="1">
        <v>1</v>
      </c>
      <c r="W22" s="1">
        <v>0</v>
      </c>
      <c r="X22" s="1">
        <v>1</v>
      </c>
      <c r="Y22" s="2">
        <v>1</v>
      </c>
      <c r="Z22" s="1">
        <f t="shared" si="18"/>
        <v>3</v>
      </c>
      <c r="AA22" s="1">
        <f>SUM(P22:T22)</f>
        <v>2</v>
      </c>
      <c r="AB22" s="1">
        <f t="shared" si="20"/>
        <v>3</v>
      </c>
      <c r="AC22" s="1">
        <f t="shared" si="21"/>
        <v>8</v>
      </c>
      <c r="AD22" s="1">
        <f t="shared" si="8"/>
        <v>2.5</v>
      </c>
      <c r="AE22" s="1">
        <f t="shared" si="2"/>
        <v>2</v>
      </c>
      <c r="AF22" s="1">
        <f t="shared" si="3"/>
        <v>3</v>
      </c>
      <c r="AG22" s="1">
        <f t="shared" si="9"/>
        <v>2.5</v>
      </c>
    </row>
    <row r="23" spans="1:34" ht="14.4" x14ac:dyDescent="0.3">
      <c r="A23" s="1" t="s">
        <v>87</v>
      </c>
      <c r="B23" s="22" t="s">
        <v>112</v>
      </c>
      <c r="C23" s="22">
        <v>20</v>
      </c>
      <c r="D23" s="22">
        <v>1</v>
      </c>
      <c r="E23" s="22">
        <v>0</v>
      </c>
      <c r="F23" s="22">
        <v>2</v>
      </c>
      <c r="G23" s="3" t="s">
        <v>43</v>
      </c>
      <c r="H23" s="3" t="s">
        <v>44</v>
      </c>
      <c r="I23" s="1">
        <v>2</v>
      </c>
      <c r="J23" s="1">
        <v>0</v>
      </c>
      <c r="K23" s="1">
        <v>1</v>
      </c>
      <c r="L23" s="1">
        <v>0</v>
      </c>
      <c r="M23" s="1">
        <v>1</v>
      </c>
      <c r="N23" s="1">
        <v>0</v>
      </c>
      <c r="O23" s="1">
        <v>0</v>
      </c>
      <c r="P23" s="1">
        <v>0</v>
      </c>
      <c r="Q23" s="1">
        <v>0</v>
      </c>
      <c r="R23" s="1">
        <v>0</v>
      </c>
      <c r="S23" s="1">
        <v>0</v>
      </c>
      <c r="T23" s="1">
        <v>0</v>
      </c>
      <c r="U23" s="1">
        <v>0</v>
      </c>
      <c r="V23" s="1">
        <v>0</v>
      </c>
      <c r="W23" s="1">
        <v>0</v>
      </c>
      <c r="X23" s="1">
        <v>0</v>
      </c>
      <c r="Y23" s="2">
        <v>1</v>
      </c>
      <c r="Z23" s="1">
        <f t="shared" si="18"/>
        <v>2</v>
      </c>
      <c r="AA23" s="1">
        <f>SUM(P23:T23)</f>
        <v>0</v>
      </c>
      <c r="AB23" s="1">
        <f t="shared" si="20"/>
        <v>1</v>
      </c>
      <c r="AC23" s="1">
        <f t="shared" si="21"/>
        <v>3</v>
      </c>
      <c r="AD23" s="1">
        <f t="shared" si="8"/>
        <v>1.6666666666666665</v>
      </c>
      <c r="AE23" s="1">
        <f t="shared" si="2"/>
        <v>0</v>
      </c>
      <c r="AF23" s="1">
        <f t="shared" si="3"/>
        <v>1</v>
      </c>
      <c r="AG23" s="1">
        <f t="shared" si="9"/>
        <v>0.88888888888888884</v>
      </c>
    </row>
    <row r="24" spans="1:34" ht="14.4" x14ac:dyDescent="0.3">
      <c r="A24" s="1" t="s">
        <v>87</v>
      </c>
      <c r="B24" s="22" t="s">
        <v>113</v>
      </c>
      <c r="C24" s="22">
        <v>21</v>
      </c>
      <c r="D24" s="22">
        <v>1</v>
      </c>
      <c r="E24" s="22">
        <v>0</v>
      </c>
      <c r="F24" s="22">
        <v>2</v>
      </c>
      <c r="G24" s="3" t="s">
        <v>50</v>
      </c>
      <c r="H24" s="65" t="s">
        <v>53</v>
      </c>
      <c r="I24" s="1">
        <v>4</v>
      </c>
      <c r="J24" s="1">
        <v>1</v>
      </c>
      <c r="K24" s="1">
        <v>1</v>
      </c>
      <c r="L24" s="1">
        <v>1</v>
      </c>
      <c r="M24" s="1">
        <v>0</v>
      </c>
      <c r="N24" s="1">
        <v>1</v>
      </c>
      <c r="O24" s="1">
        <v>1</v>
      </c>
      <c r="P24" s="1">
        <v>0</v>
      </c>
      <c r="Q24" s="1">
        <v>1</v>
      </c>
      <c r="R24" s="1">
        <v>1</v>
      </c>
      <c r="S24" s="1">
        <v>1</v>
      </c>
      <c r="T24" s="1">
        <v>0</v>
      </c>
      <c r="U24" s="1">
        <v>1</v>
      </c>
      <c r="V24" s="1">
        <v>1</v>
      </c>
      <c r="W24" s="1">
        <v>1</v>
      </c>
      <c r="X24" s="1">
        <v>1</v>
      </c>
      <c r="Y24" s="2">
        <v>0</v>
      </c>
      <c r="Z24" s="1">
        <f t="shared" ref="Z24:Z40" si="22">SUM(J24:O24)</f>
        <v>5</v>
      </c>
      <c r="AA24" s="1">
        <f t="shared" ref="AA24:AA40" si="23">SUM(P24:T24)</f>
        <v>3</v>
      </c>
      <c r="AB24" s="1">
        <f t="shared" ref="AB24:AB40" si="24">SUM(U24:Y24)</f>
        <v>4</v>
      </c>
      <c r="AC24" s="1">
        <f t="shared" ref="AC24:AC40" si="25">SUM(Z24:AB24)</f>
        <v>12</v>
      </c>
      <c r="AD24" s="1">
        <f t="shared" si="8"/>
        <v>4.166666666666667</v>
      </c>
      <c r="AE24" s="1">
        <f t="shared" si="2"/>
        <v>3</v>
      </c>
      <c r="AF24" s="1">
        <f t="shared" si="3"/>
        <v>4</v>
      </c>
      <c r="AG24" s="1">
        <f t="shared" si="9"/>
        <v>3.7222222222222228</v>
      </c>
    </row>
    <row r="25" spans="1:34" ht="14.4" x14ac:dyDescent="0.3">
      <c r="A25" s="1" t="s">
        <v>87</v>
      </c>
      <c r="B25" s="22" t="s">
        <v>114</v>
      </c>
      <c r="C25" s="22">
        <v>22</v>
      </c>
      <c r="D25" s="22">
        <v>1</v>
      </c>
      <c r="E25" s="22">
        <v>1</v>
      </c>
      <c r="F25" s="22">
        <v>1</v>
      </c>
      <c r="G25" s="3" t="s">
        <v>48</v>
      </c>
      <c r="I25" s="1">
        <v>3</v>
      </c>
      <c r="J25" s="1">
        <v>1</v>
      </c>
      <c r="K25" s="1">
        <v>1</v>
      </c>
      <c r="L25" s="1">
        <v>0</v>
      </c>
      <c r="M25" s="1">
        <v>1</v>
      </c>
      <c r="N25" s="1">
        <v>1</v>
      </c>
      <c r="O25" s="1">
        <v>0</v>
      </c>
      <c r="P25" s="1">
        <v>0</v>
      </c>
      <c r="Q25" s="1">
        <v>1</v>
      </c>
      <c r="R25" s="1">
        <v>1</v>
      </c>
      <c r="S25" s="1">
        <v>0</v>
      </c>
      <c r="T25" s="1">
        <v>0</v>
      </c>
      <c r="U25" s="1">
        <v>0</v>
      </c>
      <c r="V25" s="1">
        <v>1</v>
      </c>
      <c r="W25" s="1">
        <v>0</v>
      </c>
      <c r="X25" s="1">
        <v>0</v>
      </c>
      <c r="Y25" s="2">
        <v>1</v>
      </c>
      <c r="Z25" s="1">
        <f t="shared" si="22"/>
        <v>4</v>
      </c>
      <c r="AA25" s="1">
        <f t="shared" si="23"/>
        <v>2</v>
      </c>
      <c r="AB25" s="1">
        <f t="shared" si="24"/>
        <v>2</v>
      </c>
      <c r="AC25" s="1">
        <f t="shared" si="25"/>
        <v>8</v>
      </c>
      <c r="AD25" s="1">
        <f t="shared" si="8"/>
        <v>3.333333333333333</v>
      </c>
      <c r="AE25" s="1">
        <f t="shared" si="2"/>
        <v>2</v>
      </c>
      <c r="AF25" s="1">
        <f t="shared" si="3"/>
        <v>2</v>
      </c>
      <c r="AG25" s="1">
        <f t="shared" si="9"/>
        <v>2.4444444444444442</v>
      </c>
    </row>
    <row r="26" spans="1:34" ht="14.4" x14ac:dyDescent="0.3">
      <c r="A26" s="1" t="s">
        <v>87</v>
      </c>
      <c r="B26" s="22" t="s">
        <v>115</v>
      </c>
      <c r="C26" s="22">
        <v>23</v>
      </c>
      <c r="D26" s="22">
        <v>0</v>
      </c>
      <c r="E26" s="22">
        <v>0</v>
      </c>
      <c r="F26" s="22">
        <v>1</v>
      </c>
      <c r="G26" s="3" t="s">
        <v>43</v>
      </c>
      <c r="I26" s="1">
        <v>0</v>
      </c>
      <c r="J26" s="1">
        <v>1</v>
      </c>
      <c r="K26" s="1">
        <v>0</v>
      </c>
      <c r="L26" s="1">
        <v>0</v>
      </c>
      <c r="M26" s="1">
        <v>1</v>
      </c>
      <c r="N26" s="1">
        <v>0</v>
      </c>
      <c r="O26" s="1">
        <v>0</v>
      </c>
      <c r="P26" s="1">
        <v>0</v>
      </c>
      <c r="Q26" s="1">
        <v>1</v>
      </c>
      <c r="R26" s="1">
        <v>1</v>
      </c>
      <c r="S26" s="1">
        <v>0</v>
      </c>
      <c r="T26" s="1">
        <v>0</v>
      </c>
      <c r="U26" s="1">
        <v>0</v>
      </c>
      <c r="V26" s="1">
        <v>1</v>
      </c>
      <c r="W26" s="1">
        <v>0</v>
      </c>
      <c r="X26" s="1">
        <v>1</v>
      </c>
      <c r="Y26" s="2">
        <v>1</v>
      </c>
      <c r="Z26" s="1">
        <f t="shared" si="22"/>
        <v>2</v>
      </c>
      <c r="AA26" s="1">
        <f t="shared" si="23"/>
        <v>2</v>
      </c>
      <c r="AB26" s="1">
        <f t="shared" si="24"/>
        <v>3</v>
      </c>
      <c r="AC26" s="1">
        <f t="shared" si="25"/>
        <v>7</v>
      </c>
      <c r="AD26" s="1">
        <f t="shared" si="8"/>
        <v>1.6666666666666665</v>
      </c>
      <c r="AE26" s="1">
        <f t="shared" si="2"/>
        <v>2</v>
      </c>
      <c r="AF26" s="1">
        <f t="shared" si="3"/>
        <v>3</v>
      </c>
      <c r="AG26" s="1">
        <f t="shared" si="9"/>
        <v>2.2222222222222219</v>
      </c>
    </row>
    <row r="27" spans="1:34" ht="14.4" x14ac:dyDescent="0.3">
      <c r="A27" s="1" t="s">
        <v>87</v>
      </c>
      <c r="B27" s="22" t="s">
        <v>116</v>
      </c>
      <c r="C27" s="22">
        <v>24</v>
      </c>
      <c r="D27" s="22">
        <v>1</v>
      </c>
      <c r="E27" s="22">
        <v>0</v>
      </c>
      <c r="F27" s="22">
        <v>2</v>
      </c>
      <c r="G27" s="3" t="s">
        <v>89</v>
      </c>
      <c r="I27" s="1">
        <v>3</v>
      </c>
      <c r="J27" s="1">
        <v>1</v>
      </c>
      <c r="K27" s="1">
        <v>1</v>
      </c>
      <c r="L27" s="1">
        <v>0</v>
      </c>
      <c r="M27" s="1">
        <v>1</v>
      </c>
      <c r="N27" s="1">
        <v>1</v>
      </c>
      <c r="O27" s="1">
        <v>0</v>
      </c>
      <c r="P27" s="1">
        <v>0</v>
      </c>
      <c r="Q27" s="1">
        <v>0</v>
      </c>
      <c r="R27" s="1">
        <v>0</v>
      </c>
      <c r="S27" s="1">
        <v>0</v>
      </c>
      <c r="T27" s="1">
        <v>0</v>
      </c>
      <c r="U27" s="1">
        <v>1</v>
      </c>
      <c r="V27" s="1">
        <v>0</v>
      </c>
      <c r="W27" s="1">
        <v>0</v>
      </c>
      <c r="X27" s="1">
        <v>0</v>
      </c>
      <c r="Y27" s="2">
        <v>0</v>
      </c>
      <c r="Z27" s="1">
        <f t="shared" si="22"/>
        <v>4</v>
      </c>
      <c r="AA27" s="1">
        <f t="shared" si="23"/>
        <v>0</v>
      </c>
      <c r="AB27" s="1">
        <f t="shared" si="24"/>
        <v>1</v>
      </c>
      <c r="AC27" s="1">
        <f t="shared" si="25"/>
        <v>5</v>
      </c>
      <c r="AD27" s="1">
        <f t="shared" si="8"/>
        <v>3.333333333333333</v>
      </c>
      <c r="AE27" s="1">
        <f t="shared" si="2"/>
        <v>0</v>
      </c>
      <c r="AF27" s="1">
        <f t="shared" si="3"/>
        <v>1</v>
      </c>
      <c r="AG27" s="1">
        <f t="shared" si="9"/>
        <v>1.4444444444444444</v>
      </c>
    </row>
    <row r="28" spans="1:34" ht="14.4" x14ac:dyDescent="0.3">
      <c r="A28" s="1" t="s">
        <v>87</v>
      </c>
      <c r="B28" s="22" t="s">
        <v>117</v>
      </c>
      <c r="C28" s="22">
        <v>25</v>
      </c>
      <c r="D28" s="22">
        <v>1</v>
      </c>
      <c r="E28" s="22">
        <v>0</v>
      </c>
      <c r="F28" s="22">
        <v>2</v>
      </c>
      <c r="G28" s="3" t="s">
        <v>50</v>
      </c>
      <c r="I28" s="1">
        <v>4</v>
      </c>
      <c r="J28" s="1">
        <v>1</v>
      </c>
      <c r="K28" s="1">
        <v>1</v>
      </c>
      <c r="L28" s="1">
        <v>1</v>
      </c>
      <c r="M28" s="1">
        <v>1</v>
      </c>
      <c r="N28" s="1">
        <v>1</v>
      </c>
      <c r="O28" s="1">
        <v>1</v>
      </c>
      <c r="P28" s="1">
        <v>1</v>
      </c>
      <c r="Q28" s="1">
        <v>1</v>
      </c>
      <c r="R28" s="1">
        <v>1</v>
      </c>
      <c r="S28" s="1">
        <v>0</v>
      </c>
      <c r="T28" s="1">
        <v>0</v>
      </c>
      <c r="U28" s="1">
        <v>1</v>
      </c>
      <c r="V28" s="1">
        <v>1</v>
      </c>
      <c r="W28" s="1">
        <v>0</v>
      </c>
      <c r="X28" s="1">
        <v>1</v>
      </c>
      <c r="Y28" s="2">
        <v>0</v>
      </c>
      <c r="Z28" s="1">
        <f t="shared" si="22"/>
        <v>6</v>
      </c>
      <c r="AA28" s="1">
        <f t="shared" si="23"/>
        <v>3</v>
      </c>
      <c r="AB28" s="1">
        <f t="shared" si="24"/>
        <v>3</v>
      </c>
      <c r="AC28" s="1">
        <f t="shared" si="25"/>
        <v>12</v>
      </c>
      <c r="AD28" s="1">
        <f t="shared" si="8"/>
        <v>5</v>
      </c>
      <c r="AE28" s="1">
        <f t="shared" si="2"/>
        <v>3</v>
      </c>
      <c r="AF28" s="1">
        <f t="shared" si="3"/>
        <v>3</v>
      </c>
      <c r="AG28" s="1">
        <f t="shared" si="9"/>
        <v>3.6666666666666665</v>
      </c>
      <c r="AH28" s="1" t="s">
        <v>118</v>
      </c>
    </row>
    <row r="29" spans="1:34" ht="14.4" x14ac:dyDescent="0.3">
      <c r="A29" s="1" t="s">
        <v>87</v>
      </c>
      <c r="B29" s="22" t="s">
        <v>119</v>
      </c>
      <c r="C29" s="22">
        <v>26</v>
      </c>
      <c r="D29" s="22">
        <v>1</v>
      </c>
      <c r="E29" s="22">
        <v>0</v>
      </c>
      <c r="F29" s="22">
        <v>2</v>
      </c>
      <c r="G29" s="3" t="s">
        <v>50</v>
      </c>
      <c r="H29" s="65" t="s">
        <v>55</v>
      </c>
      <c r="I29" s="1">
        <v>2</v>
      </c>
      <c r="J29" s="1">
        <v>1</v>
      </c>
      <c r="K29" s="1">
        <v>1</v>
      </c>
      <c r="L29" s="1">
        <v>1</v>
      </c>
      <c r="M29" s="1">
        <v>1</v>
      </c>
      <c r="N29" s="1">
        <v>1</v>
      </c>
      <c r="O29" s="1">
        <v>0</v>
      </c>
      <c r="P29" s="1">
        <v>0</v>
      </c>
      <c r="Q29" s="1">
        <v>0</v>
      </c>
      <c r="R29" s="1">
        <v>0</v>
      </c>
      <c r="S29" s="1">
        <v>0</v>
      </c>
      <c r="T29" s="1">
        <v>0</v>
      </c>
      <c r="U29" s="1">
        <v>0</v>
      </c>
      <c r="V29" s="1">
        <v>0</v>
      </c>
      <c r="W29" s="1">
        <v>0</v>
      </c>
      <c r="X29" s="1">
        <v>0</v>
      </c>
      <c r="Y29" s="2">
        <v>1</v>
      </c>
      <c r="Z29" s="1">
        <f t="shared" si="22"/>
        <v>5</v>
      </c>
      <c r="AA29" s="1">
        <f t="shared" si="23"/>
        <v>0</v>
      </c>
      <c r="AB29" s="1">
        <f t="shared" si="24"/>
        <v>1</v>
      </c>
      <c r="AC29" s="1">
        <f t="shared" si="25"/>
        <v>6</v>
      </c>
      <c r="AD29" s="1">
        <f t="shared" si="8"/>
        <v>4.166666666666667</v>
      </c>
      <c r="AE29" s="1">
        <f t="shared" si="2"/>
        <v>0</v>
      </c>
      <c r="AF29" s="1">
        <f t="shared" si="3"/>
        <v>1</v>
      </c>
      <c r="AG29" s="1">
        <f t="shared" si="9"/>
        <v>1.7222222222222223</v>
      </c>
    </row>
    <row r="30" spans="1:34" ht="14.4" x14ac:dyDescent="0.3">
      <c r="A30" s="1" t="s">
        <v>87</v>
      </c>
      <c r="B30" s="22" t="s">
        <v>120</v>
      </c>
      <c r="C30" s="22">
        <v>27</v>
      </c>
      <c r="D30" s="22">
        <v>0</v>
      </c>
      <c r="E30" s="22">
        <v>0</v>
      </c>
      <c r="F30" s="22">
        <v>1</v>
      </c>
      <c r="G30" s="3" t="s">
        <v>50</v>
      </c>
      <c r="H30" s="65" t="s">
        <v>55</v>
      </c>
      <c r="I30" s="1">
        <v>0</v>
      </c>
      <c r="J30" s="1">
        <v>1</v>
      </c>
      <c r="K30" s="1">
        <v>0</v>
      </c>
      <c r="L30" s="1">
        <v>0</v>
      </c>
      <c r="M30" s="1">
        <v>0</v>
      </c>
      <c r="N30" s="1">
        <v>0</v>
      </c>
      <c r="O30" s="1">
        <v>0</v>
      </c>
      <c r="P30" s="1">
        <v>0</v>
      </c>
      <c r="Q30" s="1">
        <v>1</v>
      </c>
      <c r="R30" s="1">
        <v>0</v>
      </c>
      <c r="S30" s="1">
        <v>0</v>
      </c>
      <c r="T30" s="1">
        <v>0</v>
      </c>
      <c r="U30" s="1">
        <v>0</v>
      </c>
      <c r="V30" s="1">
        <v>1</v>
      </c>
      <c r="W30" s="1">
        <v>0</v>
      </c>
      <c r="X30" s="1">
        <v>1</v>
      </c>
      <c r="Y30" s="2">
        <v>0</v>
      </c>
      <c r="Z30" s="1">
        <f t="shared" si="22"/>
        <v>1</v>
      </c>
      <c r="AA30" s="1">
        <f t="shared" si="23"/>
        <v>1</v>
      </c>
      <c r="AB30" s="1">
        <f t="shared" si="24"/>
        <v>2</v>
      </c>
      <c r="AC30" s="1">
        <f t="shared" si="25"/>
        <v>4</v>
      </c>
      <c r="AD30" s="1">
        <f t="shared" si="8"/>
        <v>0.83333333333333326</v>
      </c>
      <c r="AE30" s="1">
        <f t="shared" si="2"/>
        <v>1</v>
      </c>
      <c r="AF30" s="1">
        <f t="shared" si="3"/>
        <v>2</v>
      </c>
      <c r="AG30" s="1">
        <f t="shared" si="9"/>
        <v>1.2777777777777777</v>
      </c>
      <c r="AH30" s="1" t="s">
        <v>121</v>
      </c>
    </row>
    <row r="31" spans="1:34" ht="14.4" x14ac:dyDescent="0.3">
      <c r="A31" s="1" t="s">
        <v>87</v>
      </c>
      <c r="B31" s="22" t="s">
        <v>122</v>
      </c>
      <c r="C31" s="22">
        <v>28</v>
      </c>
      <c r="D31" s="22">
        <v>1</v>
      </c>
      <c r="E31" s="22">
        <v>0</v>
      </c>
      <c r="F31" s="22">
        <v>2</v>
      </c>
      <c r="G31" s="3" t="s">
        <v>50</v>
      </c>
      <c r="I31" s="1">
        <v>3</v>
      </c>
      <c r="J31" s="1">
        <v>1</v>
      </c>
      <c r="K31" s="1">
        <v>1</v>
      </c>
      <c r="L31" s="1">
        <v>1</v>
      </c>
      <c r="M31" s="1">
        <v>1</v>
      </c>
      <c r="N31" s="1">
        <v>1</v>
      </c>
      <c r="O31" s="1">
        <v>1</v>
      </c>
      <c r="P31" s="1">
        <v>0</v>
      </c>
      <c r="Q31" s="1">
        <v>0</v>
      </c>
      <c r="R31" s="1">
        <v>1</v>
      </c>
      <c r="S31" s="1">
        <v>0</v>
      </c>
      <c r="T31" s="1">
        <v>1</v>
      </c>
      <c r="U31" s="1">
        <v>1</v>
      </c>
      <c r="V31" s="1">
        <v>1</v>
      </c>
      <c r="W31" s="1">
        <v>0</v>
      </c>
      <c r="X31" s="1">
        <v>0</v>
      </c>
      <c r="Y31" s="2">
        <v>0</v>
      </c>
      <c r="Z31" s="1">
        <f t="shared" si="22"/>
        <v>6</v>
      </c>
      <c r="AA31" s="1">
        <f t="shared" si="23"/>
        <v>2</v>
      </c>
      <c r="AB31" s="1">
        <f t="shared" si="24"/>
        <v>2</v>
      </c>
      <c r="AC31" s="1">
        <f t="shared" si="25"/>
        <v>10</v>
      </c>
      <c r="AD31" s="1">
        <f t="shared" si="8"/>
        <v>5</v>
      </c>
      <c r="AE31" s="1">
        <f t="shared" si="2"/>
        <v>2</v>
      </c>
      <c r="AF31" s="1">
        <f t="shared" si="3"/>
        <v>2</v>
      </c>
      <c r="AG31" s="1">
        <f t="shared" si="9"/>
        <v>3</v>
      </c>
      <c r="AH31" s="1" t="s">
        <v>123</v>
      </c>
    </row>
    <row r="32" spans="1:34" ht="14.4" x14ac:dyDescent="0.3">
      <c r="A32" s="1" t="s">
        <v>87</v>
      </c>
      <c r="B32" s="22" t="s">
        <v>124</v>
      </c>
      <c r="C32" s="22">
        <v>29</v>
      </c>
      <c r="D32" s="22">
        <v>1</v>
      </c>
      <c r="E32" s="22">
        <v>0</v>
      </c>
      <c r="F32" s="22">
        <v>2</v>
      </c>
      <c r="G32" s="3" t="s">
        <v>50</v>
      </c>
      <c r="I32" s="1">
        <v>2</v>
      </c>
      <c r="J32" s="1">
        <v>1</v>
      </c>
      <c r="K32" s="1">
        <v>0</v>
      </c>
      <c r="L32" s="1">
        <v>0</v>
      </c>
      <c r="M32" s="1">
        <v>1</v>
      </c>
      <c r="N32" s="1">
        <v>1</v>
      </c>
      <c r="O32" s="1">
        <v>0</v>
      </c>
      <c r="P32" s="1">
        <v>0</v>
      </c>
      <c r="Q32" s="1">
        <v>0</v>
      </c>
      <c r="R32" s="1">
        <v>0</v>
      </c>
      <c r="S32" s="1">
        <v>0</v>
      </c>
      <c r="T32" s="1">
        <v>0</v>
      </c>
      <c r="U32" s="1">
        <v>1</v>
      </c>
      <c r="V32" s="1">
        <v>0</v>
      </c>
      <c r="W32" s="1">
        <v>0</v>
      </c>
      <c r="X32" s="1">
        <v>0</v>
      </c>
      <c r="Y32" s="2">
        <v>1</v>
      </c>
      <c r="Z32" s="1">
        <f t="shared" si="22"/>
        <v>3</v>
      </c>
      <c r="AA32" s="1">
        <f t="shared" si="23"/>
        <v>0</v>
      </c>
      <c r="AB32" s="1">
        <f t="shared" si="24"/>
        <v>2</v>
      </c>
      <c r="AC32" s="1">
        <f t="shared" si="25"/>
        <v>5</v>
      </c>
      <c r="AD32" s="1">
        <f t="shared" si="8"/>
        <v>2.5</v>
      </c>
      <c r="AE32" s="1">
        <f t="shared" si="2"/>
        <v>0</v>
      </c>
      <c r="AF32" s="1">
        <f t="shared" si="3"/>
        <v>2</v>
      </c>
      <c r="AG32" s="1">
        <f t="shared" si="9"/>
        <v>1.5</v>
      </c>
    </row>
    <row r="33" spans="1:34" ht="14.4" x14ac:dyDescent="0.3">
      <c r="A33" s="1" t="s">
        <v>87</v>
      </c>
      <c r="B33" s="22" t="s">
        <v>125</v>
      </c>
      <c r="C33" s="22">
        <v>30</v>
      </c>
      <c r="D33" s="22">
        <v>1</v>
      </c>
      <c r="E33" s="22">
        <v>0</v>
      </c>
      <c r="F33" s="22">
        <v>2</v>
      </c>
      <c r="G33" s="3" t="s">
        <v>50</v>
      </c>
      <c r="H33" s="65" t="s">
        <v>126</v>
      </c>
      <c r="I33" s="1">
        <v>2</v>
      </c>
      <c r="J33" s="1">
        <v>1</v>
      </c>
      <c r="K33" s="1">
        <v>0</v>
      </c>
      <c r="L33" s="1">
        <v>1</v>
      </c>
      <c r="M33" s="1">
        <v>1</v>
      </c>
      <c r="N33" s="1">
        <v>1</v>
      </c>
      <c r="O33" s="1">
        <v>0</v>
      </c>
      <c r="P33" s="1">
        <v>0</v>
      </c>
      <c r="Q33" s="1">
        <v>0</v>
      </c>
      <c r="R33" s="1">
        <v>1</v>
      </c>
      <c r="S33" s="1">
        <v>0</v>
      </c>
      <c r="T33" s="1">
        <v>0</v>
      </c>
      <c r="U33" s="1">
        <v>1</v>
      </c>
      <c r="V33" s="1">
        <v>1</v>
      </c>
      <c r="W33" s="1">
        <v>1</v>
      </c>
      <c r="X33" s="1">
        <v>1</v>
      </c>
      <c r="Y33" s="2">
        <v>1</v>
      </c>
      <c r="Z33" s="1">
        <f t="shared" si="22"/>
        <v>4</v>
      </c>
      <c r="AA33" s="1">
        <f t="shared" si="23"/>
        <v>1</v>
      </c>
      <c r="AB33" s="1">
        <f t="shared" si="24"/>
        <v>5</v>
      </c>
      <c r="AC33" s="1">
        <f t="shared" si="25"/>
        <v>10</v>
      </c>
      <c r="AD33" s="1">
        <f t="shared" si="8"/>
        <v>3.333333333333333</v>
      </c>
      <c r="AE33" s="1">
        <f t="shared" si="2"/>
        <v>1</v>
      </c>
      <c r="AF33" s="1">
        <f t="shared" si="3"/>
        <v>5</v>
      </c>
      <c r="AG33" s="1">
        <f t="shared" si="9"/>
        <v>3.1111111111111107</v>
      </c>
      <c r="AH33" s="1" t="s">
        <v>127</v>
      </c>
    </row>
    <row r="34" spans="1:34" ht="14.4" x14ac:dyDescent="0.3">
      <c r="A34" s="1" t="s">
        <v>87</v>
      </c>
      <c r="B34" s="22" t="s">
        <v>128</v>
      </c>
      <c r="C34" s="22">
        <v>31</v>
      </c>
      <c r="D34" s="22">
        <v>0</v>
      </c>
      <c r="E34" s="22">
        <v>0</v>
      </c>
      <c r="F34" s="22">
        <v>2</v>
      </c>
      <c r="G34" s="3" t="s">
        <v>93</v>
      </c>
      <c r="I34" s="1">
        <v>1</v>
      </c>
      <c r="J34" s="1">
        <v>1</v>
      </c>
      <c r="K34" s="1">
        <v>1</v>
      </c>
      <c r="L34" s="1">
        <v>0</v>
      </c>
      <c r="M34" s="1">
        <v>1</v>
      </c>
      <c r="N34" s="1">
        <v>1</v>
      </c>
      <c r="O34" s="1">
        <v>0</v>
      </c>
      <c r="P34" s="1">
        <v>0</v>
      </c>
      <c r="Q34" s="1">
        <v>0</v>
      </c>
      <c r="R34" s="1">
        <v>0</v>
      </c>
      <c r="S34" s="1">
        <v>0</v>
      </c>
      <c r="T34" s="1">
        <v>0</v>
      </c>
      <c r="U34" s="1">
        <v>0</v>
      </c>
      <c r="V34" s="1">
        <v>1</v>
      </c>
      <c r="W34" s="1">
        <v>1</v>
      </c>
      <c r="X34" s="1">
        <v>0</v>
      </c>
      <c r="Y34" s="2">
        <v>0</v>
      </c>
      <c r="Z34" s="1">
        <f t="shared" si="22"/>
        <v>4</v>
      </c>
      <c r="AA34" s="1">
        <f t="shared" si="23"/>
        <v>0</v>
      </c>
      <c r="AB34" s="1">
        <f t="shared" si="24"/>
        <v>2</v>
      </c>
      <c r="AC34" s="1">
        <f t="shared" si="25"/>
        <v>6</v>
      </c>
      <c r="AD34" s="1">
        <f t="shared" si="8"/>
        <v>3.333333333333333</v>
      </c>
      <c r="AE34" s="1">
        <f t="shared" si="2"/>
        <v>0</v>
      </c>
      <c r="AF34" s="1">
        <f t="shared" si="3"/>
        <v>2</v>
      </c>
      <c r="AG34" s="1">
        <f t="shared" si="9"/>
        <v>1.7777777777777777</v>
      </c>
    </row>
    <row r="35" spans="1:34" ht="14.4" x14ac:dyDescent="0.3">
      <c r="A35" s="1" t="s">
        <v>87</v>
      </c>
      <c r="B35" s="22" t="s">
        <v>129</v>
      </c>
      <c r="C35" s="22">
        <v>32</v>
      </c>
      <c r="D35" s="22">
        <v>1</v>
      </c>
      <c r="E35" s="22">
        <v>0</v>
      </c>
      <c r="F35" s="22">
        <v>2</v>
      </c>
      <c r="G35" s="3" t="s">
        <v>50</v>
      </c>
      <c r="I35" s="1">
        <v>2</v>
      </c>
      <c r="J35" s="1">
        <v>1</v>
      </c>
      <c r="K35" s="1">
        <v>0</v>
      </c>
      <c r="L35" s="1">
        <v>0</v>
      </c>
      <c r="M35" s="1">
        <v>1</v>
      </c>
      <c r="N35" s="1">
        <v>1</v>
      </c>
      <c r="O35" s="1">
        <v>0</v>
      </c>
      <c r="P35" s="1">
        <v>0</v>
      </c>
      <c r="Q35" s="1">
        <v>1</v>
      </c>
      <c r="R35" s="1">
        <v>0</v>
      </c>
      <c r="S35" s="1">
        <v>0</v>
      </c>
      <c r="T35" s="1">
        <v>0</v>
      </c>
      <c r="U35" s="1">
        <v>1</v>
      </c>
      <c r="V35" s="1">
        <v>0</v>
      </c>
      <c r="W35" s="1">
        <v>0</v>
      </c>
      <c r="X35" s="1">
        <v>0</v>
      </c>
      <c r="Y35" s="2">
        <v>1</v>
      </c>
      <c r="Z35" s="1">
        <f t="shared" si="22"/>
        <v>3</v>
      </c>
      <c r="AA35" s="1">
        <f t="shared" si="23"/>
        <v>1</v>
      </c>
      <c r="AB35" s="1">
        <f t="shared" si="24"/>
        <v>2</v>
      </c>
      <c r="AC35" s="1">
        <f t="shared" si="25"/>
        <v>6</v>
      </c>
      <c r="AD35" s="1">
        <f t="shared" si="8"/>
        <v>2.5</v>
      </c>
      <c r="AE35" s="1">
        <f t="shared" si="2"/>
        <v>1</v>
      </c>
      <c r="AF35" s="1">
        <f t="shared" si="3"/>
        <v>2</v>
      </c>
      <c r="AG35" s="1">
        <f t="shared" si="9"/>
        <v>1.8333333333333333</v>
      </c>
      <c r="AH35" s="1" t="s">
        <v>130</v>
      </c>
    </row>
    <row r="36" spans="1:34" ht="14.4" x14ac:dyDescent="0.3">
      <c r="A36" s="1" t="s">
        <v>87</v>
      </c>
      <c r="B36" s="22" t="s">
        <v>131</v>
      </c>
      <c r="C36" s="22">
        <v>33</v>
      </c>
      <c r="D36" s="22">
        <v>1</v>
      </c>
      <c r="E36" s="22">
        <v>0</v>
      </c>
      <c r="F36" s="22">
        <v>2</v>
      </c>
      <c r="G36" s="3" t="s">
        <v>50</v>
      </c>
      <c r="H36" s="3" t="s">
        <v>46</v>
      </c>
      <c r="I36" s="1">
        <v>2</v>
      </c>
      <c r="J36" s="1">
        <v>1</v>
      </c>
      <c r="K36" s="1">
        <v>1</v>
      </c>
      <c r="L36" s="1">
        <v>0</v>
      </c>
      <c r="M36" s="1">
        <v>1</v>
      </c>
      <c r="N36" s="1">
        <v>1</v>
      </c>
      <c r="O36" s="1">
        <v>1</v>
      </c>
      <c r="P36" s="1">
        <v>0</v>
      </c>
      <c r="Q36" s="1">
        <v>0</v>
      </c>
      <c r="R36" s="1">
        <v>1</v>
      </c>
      <c r="S36" s="1">
        <v>0</v>
      </c>
      <c r="T36" s="1">
        <v>0</v>
      </c>
      <c r="U36" s="1">
        <v>1</v>
      </c>
      <c r="V36" s="1">
        <v>0</v>
      </c>
      <c r="W36" s="1">
        <v>0</v>
      </c>
      <c r="X36" s="1">
        <v>0</v>
      </c>
      <c r="Y36" s="2">
        <v>1</v>
      </c>
      <c r="Z36" s="1">
        <f t="shared" si="22"/>
        <v>5</v>
      </c>
      <c r="AA36" s="1">
        <f t="shared" si="23"/>
        <v>1</v>
      </c>
      <c r="AB36" s="1">
        <f t="shared" si="24"/>
        <v>2</v>
      </c>
      <c r="AC36" s="1">
        <f t="shared" si="25"/>
        <v>8</v>
      </c>
      <c r="AD36" s="1">
        <f t="shared" si="8"/>
        <v>4.166666666666667</v>
      </c>
      <c r="AE36" s="1">
        <f t="shared" si="2"/>
        <v>1</v>
      </c>
      <c r="AF36" s="1">
        <f t="shared" si="3"/>
        <v>2</v>
      </c>
      <c r="AG36" s="1">
        <f t="shared" si="9"/>
        <v>2.3888888888888888</v>
      </c>
    </row>
    <row r="37" spans="1:34" s="44" customFormat="1" ht="14.4" x14ac:dyDescent="0.3">
      <c r="A37" s="1" t="s">
        <v>87</v>
      </c>
      <c r="B37" s="43" t="s">
        <v>132</v>
      </c>
      <c r="C37" s="43">
        <v>34</v>
      </c>
      <c r="D37" s="43">
        <v>0</v>
      </c>
      <c r="E37" s="43">
        <v>0</v>
      </c>
      <c r="F37" s="43">
        <v>2</v>
      </c>
      <c r="G37" s="42" t="s">
        <v>43</v>
      </c>
      <c r="H37" s="42" t="s">
        <v>55</v>
      </c>
      <c r="I37" s="44">
        <v>1</v>
      </c>
      <c r="J37" s="44">
        <v>1</v>
      </c>
      <c r="K37" s="44">
        <v>0</v>
      </c>
      <c r="L37" s="44">
        <v>0</v>
      </c>
      <c r="M37" s="44">
        <v>0</v>
      </c>
      <c r="N37" s="44">
        <v>1</v>
      </c>
      <c r="O37" s="44">
        <v>0</v>
      </c>
      <c r="P37" s="44">
        <v>1</v>
      </c>
      <c r="Q37" s="44">
        <v>0</v>
      </c>
      <c r="R37" s="44">
        <v>0</v>
      </c>
      <c r="S37" s="44">
        <v>0</v>
      </c>
      <c r="T37" s="44">
        <v>0</v>
      </c>
      <c r="U37" s="44">
        <v>0</v>
      </c>
      <c r="V37" s="44">
        <v>1</v>
      </c>
      <c r="W37" s="44">
        <v>1</v>
      </c>
      <c r="X37" s="44">
        <v>0</v>
      </c>
      <c r="Y37" s="45">
        <v>1</v>
      </c>
      <c r="Z37" s="44">
        <f t="shared" ref="Z37:Z38" si="26">SUM(J37:O37)</f>
        <v>2</v>
      </c>
      <c r="AA37" s="44">
        <f t="shared" ref="AA37:AA38" si="27">SUM(P37:T37)</f>
        <v>1</v>
      </c>
      <c r="AB37" s="44">
        <f t="shared" ref="AB37:AB38" si="28">SUM(U37:Y37)</f>
        <v>3</v>
      </c>
      <c r="AC37" s="44">
        <f t="shared" ref="AC37:AC38" si="29">SUM(Z37:AB37)</f>
        <v>6</v>
      </c>
      <c r="AD37" s="1">
        <f t="shared" si="8"/>
        <v>1.6666666666666665</v>
      </c>
      <c r="AE37" s="1">
        <f t="shared" si="2"/>
        <v>1</v>
      </c>
      <c r="AF37" s="1">
        <f t="shared" si="3"/>
        <v>3</v>
      </c>
      <c r="AG37" s="1">
        <f t="shared" si="9"/>
        <v>1.8888888888888886</v>
      </c>
      <c r="AH37" s="44" t="s">
        <v>133</v>
      </c>
    </row>
    <row r="38" spans="1:34" s="44" customFormat="1" ht="14.4" x14ac:dyDescent="0.3">
      <c r="A38" s="1" t="s">
        <v>87</v>
      </c>
      <c r="B38" s="43" t="s">
        <v>132</v>
      </c>
      <c r="C38" s="43">
        <v>34</v>
      </c>
      <c r="D38" s="43">
        <v>0</v>
      </c>
      <c r="E38" s="43">
        <v>0</v>
      </c>
      <c r="F38" s="43">
        <v>2</v>
      </c>
      <c r="G38" s="42" t="s">
        <v>43</v>
      </c>
      <c r="H38" s="42" t="s">
        <v>134</v>
      </c>
      <c r="I38" s="44">
        <v>1</v>
      </c>
      <c r="J38" s="44">
        <v>1</v>
      </c>
      <c r="K38" s="44">
        <v>1</v>
      </c>
      <c r="L38" s="44">
        <v>0</v>
      </c>
      <c r="M38" s="44">
        <v>1</v>
      </c>
      <c r="N38" s="44">
        <v>1</v>
      </c>
      <c r="O38" s="44">
        <v>0</v>
      </c>
      <c r="P38" s="44">
        <v>1</v>
      </c>
      <c r="Q38" s="44">
        <v>0</v>
      </c>
      <c r="R38" s="44">
        <v>0</v>
      </c>
      <c r="S38" s="44">
        <v>0</v>
      </c>
      <c r="T38" s="44">
        <v>0</v>
      </c>
      <c r="U38" s="44">
        <v>0</v>
      </c>
      <c r="V38" s="44">
        <v>1</v>
      </c>
      <c r="W38" s="44">
        <v>1</v>
      </c>
      <c r="X38" s="44">
        <v>0</v>
      </c>
      <c r="Y38" s="45">
        <v>1</v>
      </c>
      <c r="Z38" s="44">
        <f t="shared" si="26"/>
        <v>4</v>
      </c>
      <c r="AA38" s="44">
        <f t="shared" si="27"/>
        <v>1</v>
      </c>
      <c r="AB38" s="44">
        <f t="shared" si="28"/>
        <v>3</v>
      </c>
      <c r="AC38" s="44">
        <f t="shared" si="29"/>
        <v>8</v>
      </c>
      <c r="AD38" s="1">
        <f t="shared" si="8"/>
        <v>3.333333333333333</v>
      </c>
      <c r="AE38" s="1">
        <f t="shared" si="2"/>
        <v>1</v>
      </c>
      <c r="AF38" s="1">
        <f t="shared" si="3"/>
        <v>3</v>
      </c>
      <c r="AG38" s="1">
        <f t="shared" si="9"/>
        <v>2.4444444444444442</v>
      </c>
    </row>
    <row r="39" spans="1:34" ht="14.4" x14ac:dyDescent="0.3">
      <c r="A39" s="1" t="s">
        <v>87</v>
      </c>
      <c r="B39" s="22" t="s">
        <v>135</v>
      </c>
      <c r="C39" s="22">
        <v>35</v>
      </c>
      <c r="D39" s="22">
        <v>1</v>
      </c>
      <c r="E39" s="22">
        <v>0</v>
      </c>
      <c r="F39" s="22">
        <v>2</v>
      </c>
      <c r="G39" s="3" t="s">
        <v>43</v>
      </c>
      <c r="H39" s="3" t="s">
        <v>136</v>
      </c>
      <c r="I39" s="1">
        <v>2</v>
      </c>
      <c r="J39" s="1">
        <v>1</v>
      </c>
      <c r="K39" s="1">
        <v>0</v>
      </c>
      <c r="L39" s="1">
        <v>0</v>
      </c>
      <c r="M39" s="1">
        <v>0</v>
      </c>
      <c r="N39" s="1">
        <v>1</v>
      </c>
      <c r="O39" s="1">
        <v>0</v>
      </c>
      <c r="P39" s="1">
        <v>0</v>
      </c>
      <c r="Q39" s="1">
        <v>0</v>
      </c>
      <c r="R39" s="1">
        <v>1</v>
      </c>
      <c r="S39" s="1">
        <v>0</v>
      </c>
      <c r="T39" s="1">
        <v>1</v>
      </c>
      <c r="U39" s="1">
        <v>1</v>
      </c>
      <c r="V39" s="1">
        <v>1</v>
      </c>
      <c r="W39" s="1">
        <v>0</v>
      </c>
      <c r="X39" s="1">
        <v>0</v>
      </c>
      <c r="Y39" s="2">
        <v>1</v>
      </c>
      <c r="Z39" s="1">
        <f t="shared" si="22"/>
        <v>2</v>
      </c>
      <c r="AA39" s="1">
        <f t="shared" si="23"/>
        <v>2</v>
      </c>
      <c r="AB39" s="1">
        <f t="shared" si="24"/>
        <v>3</v>
      </c>
      <c r="AC39" s="1">
        <f t="shared" si="25"/>
        <v>7</v>
      </c>
      <c r="AD39" s="1">
        <f t="shared" si="8"/>
        <v>1.6666666666666665</v>
      </c>
      <c r="AE39" s="1">
        <f t="shared" si="2"/>
        <v>2</v>
      </c>
      <c r="AF39" s="1">
        <f t="shared" si="3"/>
        <v>3</v>
      </c>
      <c r="AG39" s="1">
        <f t="shared" si="9"/>
        <v>2.2222222222222219</v>
      </c>
    </row>
    <row r="40" spans="1:34" ht="14.4" x14ac:dyDescent="0.3">
      <c r="A40" s="1" t="s">
        <v>87</v>
      </c>
      <c r="B40" s="22" t="s">
        <v>137</v>
      </c>
      <c r="C40" s="22">
        <v>36</v>
      </c>
      <c r="D40" s="22">
        <v>1</v>
      </c>
      <c r="E40" s="22">
        <v>0</v>
      </c>
      <c r="F40" s="22">
        <v>2</v>
      </c>
      <c r="G40" s="3" t="s">
        <v>48</v>
      </c>
      <c r="H40" s="3" t="s">
        <v>46</v>
      </c>
      <c r="I40" s="1">
        <v>2</v>
      </c>
      <c r="J40" s="1">
        <v>1</v>
      </c>
      <c r="K40" s="1">
        <v>1</v>
      </c>
      <c r="L40" s="1">
        <v>1</v>
      </c>
      <c r="M40" s="1">
        <v>1</v>
      </c>
      <c r="N40" s="1">
        <v>1</v>
      </c>
      <c r="O40" s="1">
        <v>0</v>
      </c>
      <c r="P40" s="1">
        <v>0</v>
      </c>
      <c r="Q40" s="1">
        <v>0</v>
      </c>
      <c r="R40" s="1">
        <v>0</v>
      </c>
      <c r="S40" s="1">
        <v>0</v>
      </c>
      <c r="T40" s="1">
        <v>0</v>
      </c>
      <c r="U40" s="1">
        <v>1</v>
      </c>
      <c r="V40" s="1">
        <v>1</v>
      </c>
      <c r="W40" s="1">
        <v>1</v>
      </c>
      <c r="X40" s="1">
        <v>0</v>
      </c>
      <c r="Y40" s="2">
        <v>1</v>
      </c>
      <c r="Z40" s="1">
        <f t="shared" si="22"/>
        <v>5</v>
      </c>
      <c r="AA40" s="1">
        <f t="shared" si="23"/>
        <v>0</v>
      </c>
      <c r="AB40" s="1">
        <f t="shared" si="24"/>
        <v>4</v>
      </c>
      <c r="AC40" s="1">
        <f t="shared" si="25"/>
        <v>9</v>
      </c>
      <c r="AD40" s="1">
        <f t="shared" si="8"/>
        <v>4.166666666666667</v>
      </c>
      <c r="AE40" s="1">
        <f t="shared" si="2"/>
        <v>0</v>
      </c>
      <c r="AF40" s="1">
        <f t="shared" si="3"/>
        <v>4</v>
      </c>
      <c r="AG40" s="1">
        <f>SUM(AD40:AF40)/3</f>
        <v>2.7222222222222228</v>
      </c>
    </row>
    <row r="41" spans="1:34" ht="14.4" x14ac:dyDescent="0.3">
      <c r="C41" s="22"/>
    </row>
    <row r="42" spans="1:34" ht="14.4" x14ac:dyDescent="0.3">
      <c r="C42" s="22"/>
    </row>
    <row r="43" spans="1:34" ht="14.4" x14ac:dyDescent="0.3">
      <c r="C43" s="22"/>
    </row>
    <row r="44" spans="1:34" ht="14.4" x14ac:dyDescent="0.3">
      <c r="C44" s="22"/>
    </row>
    <row r="45" spans="1:34" ht="14.4" x14ac:dyDescent="0.3">
      <c r="C45" s="22"/>
    </row>
    <row r="46" spans="1:34" ht="14.4" x14ac:dyDescent="0.3">
      <c r="C46" s="22"/>
    </row>
    <row r="47" spans="1:34" ht="14.4" x14ac:dyDescent="0.3">
      <c r="C47" s="22"/>
    </row>
    <row r="48" spans="1:34" ht="14.4" x14ac:dyDescent="0.3">
      <c r="C48" s="22"/>
    </row>
    <row r="49" spans="3:3" ht="14.4" x14ac:dyDescent="0.3">
      <c r="C49" s="22"/>
    </row>
    <row r="50" spans="3:3" ht="14.4" x14ac:dyDescent="0.3">
      <c r="C50" s="22"/>
    </row>
    <row r="51" spans="3:3" ht="14.4" x14ac:dyDescent="0.3">
      <c r="C51" s="22"/>
    </row>
    <row r="52" spans="3:3" ht="14.4" x14ac:dyDescent="0.3">
      <c r="C52" s="22"/>
    </row>
    <row r="53" spans="3:3" ht="14.4" x14ac:dyDescent="0.3">
      <c r="C53" s="22"/>
    </row>
    <row r="54" spans="3:3" ht="14.4" x14ac:dyDescent="0.3">
      <c r="C54" s="22"/>
    </row>
    <row r="55" spans="3:3" ht="14.4" x14ac:dyDescent="0.3">
      <c r="C55" s="22"/>
    </row>
    <row r="56" spans="3:3" ht="14.4" x14ac:dyDescent="0.3">
      <c r="C56" s="22"/>
    </row>
    <row r="57" spans="3:3" ht="14.4" x14ac:dyDescent="0.3"/>
    <row r="58" spans="3:3" ht="14.4" x14ac:dyDescent="0.3"/>
  </sheetData>
  <mergeCells count="3">
    <mergeCell ref="J1:O1"/>
    <mergeCell ref="P1:T1"/>
    <mergeCell ref="U1:Y1"/>
  </mergeCells>
  <phoneticPr fontId="20"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7CA4-EAD1-438F-B7E0-B3786067A6CA}">
  <dimension ref="A1:AI57"/>
  <sheetViews>
    <sheetView zoomScale="55" zoomScaleNormal="55" workbookViewId="0">
      <selection activeCell="F8" sqref="F8"/>
    </sheetView>
  </sheetViews>
  <sheetFormatPr defaultColWidth="8.6640625" defaultRowHeight="15" customHeight="1" x14ac:dyDescent="0.3"/>
  <cols>
    <col min="1" max="1" width="19.6640625" style="1" customWidth="1"/>
    <col min="2" max="2" width="31" style="22" customWidth="1"/>
    <col min="3" max="3" width="23.5546875" style="3" customWidth="1"/>
    <col min="4" max="6" width="23.5546875" style="22" customWidth="1"/>
    <col min="7" max="8" width="23.5546875" style="3" customWidth="1"/>
    <col min="9" max="9" width="11.6640625" style="1" customWidth="1"/>
    <col min="10" max="17" width="18.44140625" style="1" customWidth="1"/>
    <col min="18" max="18" width="24.6640625" style="1" customWidth="1"/>
    <col min="19" max="24" width="18.44140625" style="1" customWidth="1"/>
    <col min="25" max="25" width="18.44140625" style="2" customWidth="1"/>
    <col min="26" max="33" width="15.6640625" style="1" customWidth="1"/>
    <col min="34" max="34" width="37.109375" style="1" customWidth="1"/>
    <col min="35" max="35" width="29.6640625" style="1" customWidth="1"/>
    <col min="36" max="16384" width="8.6640625" style="1"/>
  </cols>
  <sheetData>
    <row r="1" spans="1:35" ht="48.75" customHeight="1" x14ac:dyDescent="0.3">
      <c r="J1" s="66" t="s">
        <v>0</v>
      </c>
      <c r="K1" s="67"/>
      <c r="L1" s="67"/>
      <c r="M1" s="67"/>
      <c r="N1" s="67"/>
      <c r="O1" s="67"/>
      <c r="P1" s="68" t="s">
        <v>31</v>
      </c>
      <c r="Q1" s="69"/>
      <c r="R1" s="69"/>
      <c r="S1" s="69"/>
      <c r="T1" s="70"/>
      <c r="U1" s="71" t="s">
        <v>32</v>
      </c>
      <c r="V1" s="71"/>
      <c r="W1" s="71"/>
      <c r="X1" s="71"/>
      <c r="Y1" s="71"/>
      <c r="Z1" s="20"/>
      <c r="AA1" s="20"/>
    </row>
    <row r="2" spans="1:35" s="10" customFormat="1" ht="327" customHeight="1" x14ac:dyDescent="0.3">
      <c r="A2" s="21" t="s">
        <v>33</v>
      </c>
      <c r="B2" s="39" t="s">
        <v>34</v>
      </c>
      <c r="C2" s="21" t="s">
        <v>4</v>
      </c>
      <c r="D2" s="39" t="s">
        <v>35</v>
      </c>
      <c r="E2" s="39" t="s">
        <v>36</v>
      </c>
      <c r="F2" s="39" t="s">
        <v>37</v>
      </c>
      <c r="G2" s="39" t="s">
        <v>38</v>
      </c>
      <c r="H2" s="39" t="s">
        <v>39</v>
      </c>
      <c r="I2" s="19" t="s">
        <v>5</v>
      </c>
      <c r="J2" s="17" t="s">
        <v>6</v>
      </c>
      <c r="K2" s="17" t="s">
        <v>7</v>
      </c>
      <c r="L2" s="17" t="s">
        <v>8</v>
      </c>
      <c r="M2" s="17" t="s">
        <v>9</v>
      </c>
      <c r="N2" s="17" t="s">
        <v>10</v>
      </c>
      <c r="O2" s="17" t="s">
        <v>11</v>
      </c>
      <c r="P2" s="17" t="s">
        <v>12</v>
      </c>
      <c r="Q2" s="18" t="s">
        <v>13</v>
      </c>
      <c r="R2" s="17" t="s">
        <v>14</v>
      </c>
      <c r="S2" s="17" t="s">
        <v>15</v>
      </c>
      <c r="T2" s="18" t="s">
        <v>16</v>
      </c>
      <c r="U2" s="17" t="s">
        <v>17</v>
      </c>
      <c r="V2" s="17" t="s">
        <v>18</v>
      </c>
      <c r="W2" s="17" t="s">
        <v>19</v>
      </c>
      <c r="X2" s="17" t="s">
        <v>20</v>
      </c>
      <c r="Y2" s="16" t="s">
        <v>21</v>
      </c>
      <c r="Z2" s="15" t="s">
        <v>22</v>
      </c>
      <c r="AA2" s="14" t="s">
        <v>23</v>
      </c>
      <c r="AB2" s="13" t="s">
        <v>24</v>
      </c>
      <c r="AC2" s="12" t="s">
        <v>25</v>
      </c>
      <c r="AD2" s="15" t="s">
        <v>26</v>
      </c>
      <c r="AE2" s="14" t="s">
        <v>27</v>
      </c>
      <c r="AF2" s="13" t="s">
        <v>28</v>
      </c>
      <c r="AG2" s="12" t="s">
        <v>29</v>
      </c>
      <c r="AH2" s="41" t="s">
        <v>40</v>
      </c>
      <c r="AI2" s="11" t="s">
        <v>30</v>
      </c>
    </row>
    <row r="3" spans="1:35" ht="14.4" x14ac:dyDescent="0.3">
      <c r="A3" s="1" t="s">
        <v>138</v>
      </c>
      <c r="B3" s="22" t="s">
        <v>139</v>
      </c>
      <c r="C3" s="22">
        <v>1</v>
      </c>
      <c r="D3" s="22">
        <v>0</v>
      </c>
      <c r="E3" s="22">
        <v>0</v>
      </c>
      <c r="F3" s="22">
        <v>1</v>
      </c>
      <c r="G3" s="3" t="s">
        <v>43</v>
      </c>
      <c r="H3" s="3" t="s">
        <v>140</v>
      </c>
      <c r="I3" s="1">
        <v>1</v>
      </c>
      <c r="J3" s="1">
        <v>1</v>
      </c>
      <c r="K3" s="1">
        <v>0</v>
      </c>
      <c r="L3" s="1">
        <v>0</v>
      </c>
      <c r="M3" s="1">
        <v>0</v>
      </c>
      <c r="N3" s="1">
        <v>0</v>
      </c>
      <c r="O3" s="1">
        <v>0</v>
      </c>
      <c r="P3" s="1">
        <v>0</v>
      </c>
      <c r="Q3" s="1">
        <v>1</v>
      </c>
      <c r="R3" s="1">
        <v>0</v>
      </c>
      <c r="S3" s="1">
        <v>0</v>
      </c>
      <c r="T3" s="1">
        <v>0</v>
      </c>
      <c r="U3" s="1">
        <v>0</v>
      </c>
      <c r="V3" s="1">
        <v>0</v>
      </c>
      <c r="W3" s="1">
        <v>0</v>
      </c>
      <c r="X3" s="1">
        <v>1</v>
      </c>
      <c r="Y3" s="2">
        <v>1</v>
      </c>
      <c r="Z3" s="1">
        <f t="shared" ref="Z3" si="0">SUM(J3:O3)</f>
        <v>1</v>
      </c>
      <c r="AA3" s="1">
        <f t="shared" ref="AA3:AA5" si="1">SUM(P3:T3)</f>
        <v>1</v>
      </c>
      <c r="AB3" s="1">
        <f t="shared" ref="AB3:AB5" si="2">SUM(U3:Y3)</f>
        <v>2</v>
      </c>
      <c r="AC3" s="1">
        <f t="shared" ref="AC3:AC5" si="3">SUM(Z3:AB3)</f>
        <v>4</v>
      </c>
      <c r="AD3" s="1">
        <f t="shared" ref="AD3:AD27" si="4">Z3/6*5</f>
        <v>0.83333333333333326</v>
      </c>
      <c r="AE3" s="1">
        <f t="shared" ref="AE3:AE27" si="5">AA3/5*5</f>
        <v>1</v>
      </c>
      <c r="AF3" s="1">
        <f t="shared" ref="AF3:AF27" si="6" xml:space="preserve"> AB3/5*5</f>
        <v>2</v>
      </c>
      <c r="AG3" s="1">
        <f t="shared" ref="AG3:AG27" si="7">SUM(AD3:AF3)/3</f>
        <v>1.2777777777777777</v>
      </c>
    </row>
    <row r="4" spans="1:35" ht="14.4" x14ac:dyDescent="0.3">
      <c r="A4" s="1" t="s">
        <v>138</v>
      </c>
      <c r="B4" s="22" t="s">
        <v>141</v>
      </c>
      <c r="C4" s="22">
        <v>2</v>
      </c>
      <c r="D4" s="22">
        <v>1</v>
      </c>
      <c r="E4" s="22">
        <v>0</v>
      </c>
      <c r="F4" s="22">
        <v>2</v>
      </c>
      <c r="G4" s="3" t="s">
        <v>50</v>
      </c>
      <c r="H4" s="3" t="s">
        <v>46</v>
      </c>
      <c r="I4" s="1">
        <v>3</v>
      </c>
      <c r="J4" s="1">
        <v>1</v>
      </c>
      <c r="K4" s="1">
        <v>1</v>
      </c>
      <c r="L4" s="1">
        <v>1</v>
      </c>
      <c r="M4" s="1">
        <v>1</v>
      </c>
      <c r="N4" s="1">
        <v>0</v>
      </c>
      <c r="O4" s="1">
        <v>1</v>
      </c>
      <c r="P4" s="1">
        <v>0</v>
      </c>
      <c r="Q4" s="1">
        <v>0</v>
      </c>
      <c r="R4" s="2">
        <v>1</v>
      </c>
      <c r="S4" s="1">
        <v>0</v>
      </c>
      <c r="T4" s="1">
        <v>0</v>
      </c>
      <c r="U4" s="1">
        <v>1</v>
      </c>
      <c r="V4" s="1">
        <v>0</v>
      </c>
      <c r="W4" s="1">
        <v>0</v>
      </c>
      <c r="X4" s="2">
        <v>0</v>
      </c>
      <c r="Y4" s="2">
        <v>1</v>
      </c>
      <c r="Z4" s="1">
        <f t="shared" ref="Z4:Z5" si="8">SUM(J4:O4)</f>
        <v>5</v>
      </c>
      <c r="AA4" s="1">
        <f t="shared" si="1"/>
        <v>1</v>
      </c>
      <c r="AB4" s="1">
        <f t="shared" si="2"/>
        <v>2</v>
      </c>
      <c r="AC4" s="1">
        <f t="shared" si="3"/>
        <v>8</v>
      </c>
      <c r="AD4" s="1">
        <f t="shared" si="4"/>
        <v>4.166666666666667</v>
      </c>
      <c r="AE4" s="1">
        <f t="shared" si="5"/>
        <v>1</v>
      </c>
      <c r="AF4" s="1">
        <f t="shared" si="6"/>
        <v>2</v>
      </c>
      <c r="AG4" s="1">
        <f t="shared" si="7"/>
        <v>2.3888888888888888</v>
      </c>
      <c r="AI4" s="4"/>
    </row>
    <row r="5" spans="1:35" ht="14.4" x14ac:dyDescent="0.3">
      <c r="A5" s="1" t="s">
        <v>138</v>
      </c>
      <c r="B5" s="22" t="s">
        <v>142</v>
      </c>
      <c r="C5" s="22">
        <v>3</v>
      </c>
      <c r="D5" s="22">
        <v>0</v>
      </c>
      <c r="E5" s="22">
        <v>1</v>
      </c>
      <c r="F5" s="22">
        <v>1</v>
      </c>
      <c r="G5" s="3" t="s">
        <v>93</v>
      </c>
      <c r="H5" s="3" t="s">
        <v>46</v>
      </c>
      <c r="I5" s="1">
        <v>1</v>
      </c>
      <c r="J5" s="1">
        <v>1</v>
      </c>
      <c r="K5" s="1">
        <v>0</v>
      </c>
      <c r="L5" s="1">
        <v>0</v>
      </c>
      <c r="M5" s="1">
        <v>0</v>
      </c>
      <c r="N5" s="1">
        <v>0</v>
      </c>
      <c r="O5" s="1">
        <v>0</v>
      </c>
      <c r="P5" s="1">
        <v>0</v>
      </c>
      <c r="Q5" s="1">
        <v>1</v>
      </c>
      <c r="R5" s="1">
        <v>0</v>
      </c>
      <c r="S5" s="1">
        <v>0</v>
      </c>
      <c r="T5" s="1">
        <v>0</v>
      </c>
      <c r="U5" s="1">
        <v>0</v>
      </c>
      <c r="V5" s="1">
        <v>0</v>
      </c>
      <c r="W5" s="1">
        <v>0</v>
      </c>
      <c r="X5" s="1">
        <v>1</v>
      </c>
      <c r="Y5" s="2">
        <v>1</v>
      </c>
      <c r="Z5" s="1">
        <f t="shared" si="8"/>
        <v>1</v>
      </c>
      <c r="AA5" s="1">
        <f t="shared" si="1"/>
        <v>1</v>
      </c>
      <c r="AB5" s="1">
        <f t="shared" si="2"/>
        <v>2</v>
      </c>
      <c r="AC5" s="1">
        <f t="shared" si="3"/>
        <v>4</v>
      </c>
      <c r="AD5" s="1">
        <f t="shared" si="4"/>
        <v>0.83333333333333326</v>
      </c>
      <c r="AE5" s="1">
        <f t="shared" si="5"/>
        <v>1</v>
      </c>
      <c r="AF5" s="1">
        <f t="shared" si="6"/>
        <v>2</v>
      </c>
      <c r="AG5" s="1">
        <f t="shared" si="7"/>
        <v>1.2777777777777777</v>
      </c>
    </row>
    <row r="6" spans="1:35" ht="14.4" x14ac:dyDescent="0.3">
      <c r="A6" s="1" t="s">
        <v>138</v>
      </c>
      <c r="B6" s="22" t="s">
        <v>143</v>
      </c>
      <c r="C6" s="22">
        <v>4</v>
      </c>
      <c r="D6" s="22">
        <v>1</v>
      </c>
      <c r="E6" s="22">
        <v>0</v>
      </c>
      <c r="F6" s="22">
        <v>2</v>
      </c>
      <c r="G6" s="3" t="s">
        <v>93</v>
      </c>
      <c r="H6" s="3" t="s">
        <v>144</v>
      </c>
      <c r="I6" s="1">
        <v>2</v>
      </c>
      <c r="J6" s="1">
        <v>1</v>
      </c>
      <c r="K6" s="1">
        <v>0</v>
      </c>
      <c r="L6" s="1">
        <v>0</v>
      </c>
      <c r="M6" s="1">
        <v>1</v>
      </c>
      <c r="N6" s="2">
        <v>1</v>
      </c>
      <c r="O6" s="1">
        <v>0</v>
      </c>
      <c r="P6" s="1">
        <v>0</v>
      </c>
      <c r="Q6" s="2">
        <v>0</v>
      </c>
      <c r="R6" s="1">
        <v>0</v>
      </c>
      <c r="S6" s="1">
        <v>0</v>
      </c>
      <c r="T6" s="1">
        <v>0</v>
      </c>
      <c r="U6" s="1">
        <v>1</v>
      </c>
      <c r="V6" s="1">
        <v>0</v>
      </c>
      <c r="W6" s="2">
        <v>1</v>
      </c>
      <c r="X6" s="2">
        <v>0</v>
      </c>
      <c r="Y6" s="2">
        <v>1</v>
      </c>
      <c r="Z6" s="1">
        <f t="shared" ref="Z6:Z20" si="9">SUM(J6:O6)</f>
        <v>3</v>
      </c>
      <c r="AA6" s="1">
        <f t="shared" ref="AA6:AA21" si="10">SUM(P6:T6)</f>
        <v>0</v>
      </c>
      <c r="AB6" s="1">
        <f t="shared" ref="AB6:AB27" si="11">SUM(U6:Y6)</f>
        <v>3</v>
      </c>
      <c r="AC6" s="1">
        <f t="shared" ref="AC6:AC27" si="12">SUM(Z6:AB6)</f>
        <v>6</v>
      </c>
      <c r="AD6" s="1">
        <f t="shared" si="4"/>
        <v>2.5</v>
      </c>
      <c r="AE6" s="1">
        <f t="shared" si="5"/>
        <v>0</v>
      </c>
      <c r="AF6" s="1">
        <f t="shared" si="6"/>
        <v>3</v>
      </c>
      <c r="AG6" s="1">
        <f t="shared" si="7"/>
        <v>1.8333333333333333</v>
      </c>
      <c r="AI6" s="6"/>
    </row>
    <row r="7" spans="1:35" s="37" customFormat="1" ht="14.4" x14ac:dyDescent="0.3">
      <c r="A7" s="37" t="s">
        <v>138</v>
      </c>
      <c r="B7" s="35" t="s">
        <v>145</v>
      </c>
      <c r="C7" s="35">
        <v>5</v>
      </c>
      <c r="D7" s="35">
        <v>0</v>
      </c>
      <c r="E7" s="35">
        <v>0</v>
      </c>
      <c r="F7" s="35">
        <v>0</v>
      </c>
      <c r="G7" s="36"/>
      <c r="H7" s="36"/>
      <c r="N7" s="38"/>
      <c r="W7" s="38"/>
      <c r="X7" s="38"/>
      <c r="Y7" s="38"/>
      <c r="Z7" s="37">
        <f t="shared" si="9"/>
        <v>0</v>
      </c>
      <c r="AA7" s="37">
        <f t="shared" si="10"/>
        <v>0</v>
      </c>
      <c r="AB7" s="37">
        <f t="shared" si="11"/>
        <v>0</v>
      </c>
      <c r="AC7" s="37">
        <f t="shared" si="12"/>
        <v>0</v>
      </c>
      <c r="AD7" s="37">
        <f t="shared" si="4"/>
        <v>0</v>
      </c>
      <c r="AE7" s="37">
        <f t="shared" si="5"/>
        <v>0</v>
      </c>
      <c r="AF7" s="37">
        <f t="shared" si="6"/>
        <v>0</v>
      </c>
      <c r="AG7" s="37">
        <f t="shared" si="7"/>
        <v>0</v>
      </c>
      <c r="AI7" s="50"/>
    </row>
    <row r="8" spans="1:35" ht="14.4" x14ac:dyDescent="0.3">
      <c r="A8" s="1" t="s">
        <v>138</v>
      </c>
      <c r="B8" s="22" t="s">
        <v>146</v>
      </c>
      <c r="C8" s="22">
        <v>6</v>
      </c>
      <c r="D8" s="22">
        <v>1</v>
      </c>
      <c r="E8" s="22">
        <v>0</v>
      </c>
      <c r="F8" s="22">
        <v>2</v>
      </c>
      <c r="G8" s="3" t="s">
        <v>50</v>
      </c>
      <c r="H8" s="3" t="s">
        <v>46</v>
      </c>
      <c r="I8" s="1">
        <v>3</v>
      </c>
      <c r="J8" s="1">
        <v>1</v>
      </c>
      <c r="K8" s="1">
        <v>1</v>
      </c>
      <c r="L8" s="1">
        <v>1</v>
      </c>
      <c r="M8" s="1">
        <v>1</v>
      </c>
      <c r="N8" s="2">
        <v>1</v>
      </c>
      <c r="O8" s="1">
        <v>0</v>
      </c>
      <c r="P8" s="1">
        <v>0</v>
      </c>
      <c r="Q8" s="1">
        <v>0</v>
      </c>
      <c r="R8" s="1">
        <v>0</v>
      </c>
      <c r="S8" s="1">
        <v>0</v>
      </c>
      <c r="T8" s="1">
        <v>0</v>
      </c>
      <c r="U8" s="1">
        <v>1</v>
      </c>
      <c r="V8" s="1">
        <v>0</v>
      </c>
      <c r="W8" s="2">
        <v>0</v>
      </c>
      <c r="X8" s="2">
        <v>0</v>
      </c>
      <c r="Y8" s="2">
        <v>1</v>
      </c>
      <c r="Z8" s="1">
        <f t="shared" si="9"/>
        <v>5</v>
      </c>
      <c r="AA8" s="1">
        <f t="shared" si="10"/>
        <v>0</v>
      </c>
      <c r="AB8" s="1">
        <f t="shared" si="11"/>
        <v>2</v>
      </c>
      <c r="AC8" s="1">
        <f t="shared" si="12"/>
        <v>7</v>
      </c>
      <c r="AD8" s="1">
        <f t="shared" si="4"/>
        <v>4.166666666666667</v>
      </c>
      <c r="AE8" s="1">
        <f t="shared" si="5"/>
        <v>0</v>
      </c>
      <c r="AF8" s="1">
        <f t="shared" si="6"/>
        <v>2</v>
      </c>
      <c r="AG8" s="1">
        <f t="shared" si="7"/>
        <v>2.0555555555555558</v>
      </c>
      <c r="AI8" s="5"/>
    </row>
    <row r="9" spans="1:35" ht="14.4" x14ac:dyDescent="0.3">
      <c r="A9" s="1" t="s">
        <v>138</v>
      </c>
      <c r="B9" s="22" t="s">
        <v>147</v>
      </c>
      <c r="C9" s="22">
        <v>7</v>
      </c>
      <c r="D9" s="22">
        <v>1</v>
      </c>
      <c r="E9" s="22">
        <v>0</v>
      </c>
      <c r="F9" s="22">
        <v>2</v>
      </c>
      <c r="G9" s="3" t="s">
        <v>50</v>
      </c>
      <c r="H9" s="3" t="s">
        <v>148</v>
      </c>
      <c r="I9" s="1">
        <v>3</v>
      </c>
      <c r="J9" s="1">
        <v>1</v>
      </c>
      <c r="K9" s="1">
        <v>1</v>
      </c>
      <c r="L9" s="1">
        <v>1</v>
      </c>
      <c r="M9" s="1">
        <v>1</v>
      </c>
      <c r="N9" s="2">
        <v>1</v>
      </c>
      <c r="O9" s="1">
        <v>1</v>
      </c>
      <c r="P9" s="1">
        <v>0</v>
      </c>
      <c r="Q9" s="1">
        <v>0</v>
      </c>
      <c r="R9" s="1">
        <v>0</v>
      </c>
      <c r="S9" s="1">
        <v>0</v>
      </c>
      <c r="T9" s="1">
        <v>0</v>
      </c>
      <c r="U9" s="1">
        <v>1</v>
      </c>
      <c r="V9" s="1">
        <v>0</v>
      </c>
      <c r="W9" s="2">
        <v>0</v>
      </c>
      <c r="X9" s="2">
        <v>0</v>
      </c>
      <c r="Y9" s="2">
        <v>1</v>
      </c>
      <c r="Z9" s="1">
        <f t="shared" si="9"/>
        <v>6</v>
      </c>
      <c r="AA9" s="1">
        <f t="shared" si="10"/>
        <v>0</v>
      </c>
      <c r="AB9" s="1">
        <f t="shared" si="11"/>
        <v>2</v>
      </c>
      <c r="AC9" s="1">
        <f t="shared" si="12"/>
        <v>8</v>
      </c>
      <c r="AD9" s="1">
        <f t="shared" si="4"/>
        <v>5</v>
      </c>
      <c r="AE9" s="1">
        <f t="shared" si="5"/>
        <v>0</v>
      </c>
      <c r="AF9" s="1">
        <f t="shared" si="6"/>
        <v>2</v>
      </c>
      <c r="AG9" s="1">
        <f t="shared" si="7"/>
        <v>2.3333333333333335</v>
      </c>
      <c r="AI9" s="4"/>
    </row>
    <row r="10" spans="1:35" ht="14.4" x14ac:dyDescent="0.3">
      <c r="A10" s="1" t="s">
        <v>138</v>
      </c>
      <c r="B10" s="22" t="s">
        <v>149</v>
      </c>
      <c r="C10" s="22">
        <v>8</v>
      </c>
      <c r="D10" s="22">
        <v>1</v>
      </c>
      <c r="E10" s="22">
        <v>0</v>
      </c>
      <c r="F10" s="22">
        <v>2</v>
      </c>
      <c r="G10" s="3" t="s">
        <v>50</v>
      </c>
      <c r="H10" s="3" t="s">
        <v>150</v>
      </c>
      <c r="I10" s="1">
        <v>2</v>
      </c>
      <c r="J10" s="1">
        <v>1</v>
      </c>
      <c r="K10" s="1">
        <v>1</v>
      </c>
      <c r="L10" s="1">
        <v>1</v>
      </c>
      <c r="M10" s="1">
        <v>1</v>
      </c>
      <c r="N10" s="1">
        <v>1</v>
      </c>
      <c r="O10" s="1">
        <v>0</v>
      </c>
      <c r="P10" s="1">
        <v>0</v>
      </c>
      <c r="Q10" s="1">
        <v>0</v>
      </c>
      <c r="R10" s="1">
        <v>0</v>
      </c>
      <c r="S10" s="1">
        <v>1</v>
      </c>
      <c r="T10" s="1">
        <v>0</v>
      </c>
      <c r="U10" s="1">
        <v>1</v>
      </c>
      <c r="V10" s="1">
        <v>0</v>
      </c>
      <c r="W10" s="1">
        <v>1</v>
      </c>
      <c r="X10" s="1">
        <v>0</v>
      </c>
      <c r="Y10" s="2">
        <v>1</v>
      </c>
      <c r="Z10" s="1">
        <f t="shared" si="9"/>
        <v>5</v>
      </c>
      <c r="AA10" s="1">
        <f t="shared" si="10"/>
        <v>1</v>
      </c>
      <c r="AB10" s="1">
        <f t="shared" si="11"/>
        <v>3</v>
      </c>
      <c r="AC10" s="1">
        <f t="shared" si="12"/>
        <v>9</v>
      </c>
      <c r="AD10" s="1">
        <f t="shared" si="4"/>
        <v>4.166666666666667</v>
      </c>
      <c r="AE10" s="1">
        <f t="shared" si="5"/>
        <v>1</v>
      </c>
      <c r="AF10" s="1">
        <f t="shared" si="6"/>
        <v>3</v>
      </c>
      <c r="AG10" s="1">
        <f t="shared" si="7"/>
        <v>2.7222222222222228</v>
      </c>
    </row>
    <row r="11" spans="1:35" ht="14.4" x14ac:dyDescent="0.3">
      <c r="A11" s="1" t="s">
        <v>138</v>
      </c>
      <c r="B11" s="22" t="s">
        <v>151</v>
      </c>
      <c r="C11" s="22">
        <v>9</v>
      </c>
      <c r="D11" s="22">
        <v>1</v>
      </c>
      <c r="E11" s="22">
        <v>0</v>
      </c>
      <c r="F11" s="22">
        <v>2</v>
      </c>
      <c r="G11" s="3" t="s">
        <v>89</v>
      </c>
      <c r="H11" s="3" t="s">
        <v>46</v>
      </c>
      <c r="I11" s="1">
        <v>2</v>
      </c>
      <c r="J11" s="1">
        <v>1</v>
      </c>
      <c r="K11" s="1">
        <v>1</v>
      </c>
      <c r="L11" s="1">
        <v>1</v>
      </c>
      <c r="M11" s="1">
        <v>0</v>
      </c>
      <c r="N11" s="1">
        <v>1</v>
      </c>
      <c r="O11" s="1">
        <v>1</v>
      </c>
      <c r="P11" s="1">
        <v>0</v>
      </c>
      <c r="Q11" s="1">
        <v>0</v>
      </c>
      <c r="R11" s="1">
        <v>0</v>
      </c>
      <c r="S11" s="1">
        <v>0</v>
      </c>
      <c r="T11" s="1">
        <v>0</v>
      </c>
      <c r="U11" s="1">
        <v>1</v>
      </c>
      <c r="V11" s="1">
        <v>0</v>
      </c>
      <c r="W11" s="1">
        <v>0</v>
      </c>
      <c r="X11" s="1">
        <v>0</v>
      </c>
      <c r="Y11" s="2">
        <v>1</v>
      </c>
      <c r="Z11" s="1">
        <f t="shared" si="9"/>
        <v>5</v>
      </c>
      <c r="AA11" s="1">
        <f t="shared" si="10"/>
        <v>0</v>
      </c>
      <c r="AB11" s="1">
        <f t="shared" si="11"/>
        <v>2</v>
      </c>
      <c r="AC11" s="1">
        <f t="shared" si="12"/>
        <v>7</v>
      </c>
      <c r="AD11" s="1">
        <f t="shared" si="4"/>
        <v>4.166666666666667</v>
      </c>
      <c r="AE11" s="1">
        <f t="shared" si="5"/>
        <v>0</v>
      </c>
      <c r="AF11" s="1">
        <f t="shared" si="6"/>
        <v>2</v>
      </c>
      <c r="AG11" s="1">
        <f t="shared" si="7"/>
        <v>2.0555555555555558</v>
      </c>
    </row>
    <row r="12" spans="1:35" ht="14.4" x14ac:dyDescent="0.3">
      <c r="A12" s="1" t="s">
        <v>138</v>
      </c>
      <c r="B12" s="22" t="s">
        <v>152</v>
      </c>
      <c r="C12" s="22">
        <v>10</v>
      </c>
      <c r="D12" s="22">
        <v>1</v>
      </c>
      <c r="E12" s="22">
        <v>0</v>
      </c>
      <c r="F12" s="22">
        <v>2</v>
      </c>
      <c r="G12" s="3" t="s">
        <v>93</v>
      </c>
      <c r="H12" s="3" t="s">
        <v>140</v>
      </c>
      <c r="I12" s="1">
        <v>2</v>
      </c>
      <c r="J12" s="1">
        <v>1</v>
      </c>
      <c r="K12" s="1">
        <v>1</v>
      </c>
      <c r="L12" s="1">
        <v>0</v>
      </c>
      <c r="M12" s="1">
        <v>0</v>
      </c>
      <c r="N12" s="1">
        <v>1</v>
      </c>
      <c r="O12" s="1">
        <v>1</v>
      </c>
      <c r="P12" s="1">
        <v>0</v>
      </c>
      <c r="Q12" s="1">
        <v>0</v>
      </c>
      <c r="R12" s="1">
        <v>0</v>
      </c>
      <c r="S12" s="1">
        <v>0</v>
      </c>
      <c r="T12" s="1">
        <v>0</v>
      </c>
      <c r="U12" s="1">
        <v>0</v>
      </c>
      <c r="V12" s="1">
        <v>0</v>
      </c>
      <c r="W12" s="1">
        <v>0</v>
      </c>
      <c r="X12" s="1">
        <v>0</v>
      </c>
      <c r="Y12" s="2">
        <v>1</v>
      </c>
      <c r="Z12" s="1">
        <f t="shared" si="9"/>
        <v>4</v>
      </c>
      <c r="AA12" s="1">
        <f t="shared" si="10"/>
        <v>0</v>
      </c>
      <c r="AB12" s="1">
        <f t="shared" si="11"/>
        <v>1</v>
      </c>
      <c r="AC12" s="1">
        <f t="shared" si="12"/>
        <v>5</v>
      </c>
      <c r="AD12" s="1">
        <f t="shared" si="4"/>
        <v>3.333333333333333</v>
      </c>
      <c r="AE12" s="1">
        <f t="shared" si="5"/>
        <v>0</v>
      </c>
      <c r="AF12" s="1">
        <f t="shared" si="6"/>
        <v>1</v>
      </c>
      <c r="AG12" s="1">
        <f t="shared" si="7"/>
        <v>1.4444444444444444</v>
      </c>
    </row>
    <row r="13" spans="1:35" s="37" customFormat="1" ht="14.4" x14ac:dyDescent="0.3">
      <c r="A13" s="37" t="s">
        <v>138</v>
      </c>
      <c r="B13" s="35" t="s">
        <v>153</v>
      </c>
      <c r="C13" s="35">
        <v>11</v>
      </c>
      <c r="D13" s="35">
        <v>0</v>
      </c>
      <c r="E13" s="35">
        <v>1</v>
      </c>
      <c r="F13" s="35">
        <v>0</v>
      </c>
      <c r="G13" s="36"/>
      <c r="H13" s="36"/>
      <c r="Y13" s="38"/>
      <c r="Z13" s="37">
        <f t="shared" si="9"/>
        <v>0</v>
      </c>
      <c r="AA13" s="37">
        <f t="shared" si="10"/>
        <v>0</v>
      </c>
      <c r="AB13" s="37">
        <f t="shared" si="11"/>
        <v>0</v>
      </c>
      <c r="AC13" s="37">
        <f t="shared" si="12"/>
        <v>0</v>
      </c>
      <c r="AD13" s="37">
        <f t="shared" si="4"/>
        <v>0</v>
      </c>
      <c r="AE13" s="37">
        <f t="shared" si="5"/>
        <v>0</v>
      </c>
      <c r="AF13" s="37">
        <f t="shared" si="6"/>
        <v>0</v>
      </c>
      <c r="AG13" s="37">
        <f t="shared" si="7"/>
        <v>0</v>
      </c>
    </row>
    <row r="14" spans="1:35" ht="14.4" x14ac:dyDescent="0.3">
      <c r="A14" s="1" t="s">
        <v>138</v>
      </c>
      <c r="B14" s="22" t="s">
        <v>154</v>
      </c>
      <c r="C14" s="22">
        <v>12</v>
      </c>
      <c r="D14" s="22">
        <v>0</v>
      </c>
      <c r="E14" s="22">
        <v>0</v>
      </c>
      <c r="F14" s="22">
        <v>2</v>
      </c>
      <c r="G14" s="3" t="s">
        <v>93</v>
      </c>
      <c r="H14" s="3" t="s">
        <v>155</v>
      </c>
      <c r="I14" s="1">
        <v>1</v>
      </c>
      <c r="J14" s="1">
        <v>0</v>
      </c>
      <c r="K14" s="1">
        <v>0</v>
      </c>
      <c r="L14" s="1">
        <v>0</v>
      </c>
      <c r="M14" s="1">
        <v>1</v>
      </c>
      <c r="N14" s="1">
        <v>0</v>
      </c>
      <c r="O14" s="1">
        <v>0</v>
      </c>
      <c r="P14" s="1">
        <v>0</v>
      </c>
      <c r="Q14" s="1">
        <v>0</v>
      </c>
      <c r="R14" s="1">
        <v>0</v>
      </c>
      <c r="S14" s="1">
        <v>0</v>
      </c>
      <c r="T14" s="1">
        <v>0</v>
      </c>
      <c r="U14" s="1">
        <v>0</v>
      </c>
      <c r="V14" s="1">
        <v>0</v>
      </c>
      <c r="W14" s="1">
        <v>0</v>
      </c>
      <c r="X14" s="1">
        <v>0</v>
      </c>
      <c r="Y14" s="2">
        <v>1</v>
      </c>
      <c r="Z14" s="1">
        <f t="shared" si="9"/>
        <v>1</v>
      </c>
      <c r="AA14" s="1">
        <f t="shared" si="10"/>
        <v>0</v>
      </c>
      <c r="AB14" s="1">
        <f t="shared" si="11"/>
        <v>1</v>
      </c>
      <c r="AC14" s="1">
        <f t="shared" si="12"/>
        <v>2</v>
      </c>
      <c r="AD14" s="1">
        <f t="shared" si="4"/>
        <v>0.83333333333333326</v>
      </c>
      <c r="AE14" s="1">
        <f t="shared" si="5"/>
        <v>0</v>
      </c>
      <c r="AF14" s="1">
        <f t="shared" si="6"/>
        <v>1</v>
      </c>
      <c r="AG14" s="1">
        <f t="shared" si="7"/>
        <v>0.61111111111111105</v>
      </c>
    </row>
    <row r="15" spans="1:35" ht="14.4" x14ac:dyDescent="0.3">
      <c r="A15" s="1" t="s">
        <v>138</v>
      </c>
      <c r="B15" s="22" t="s">
        <v>156</v>
      </c>
      <c r="C15" s="22">
        <v>13</v>
      </c>
      <c r="D15" s="22">
        <v>1</v>
      </c>
      <c r="E15" s="22">
        <v>0</v>
      </c>
      <c r="F15" s="22">
        <v>2</v>
      </c>
      <c r="G15" s="3" t="s">
        <v>48</v>
      </c>
      <c r="H15" s="3" t="s">
        <v>150</v>
      </c>
      <c r="I15" s="1">
        <v>2</v>
      </c>
      <c r="J15" s="1">
        <v>1</v>
      </c>
      <c r="K15" s="1">
        <v>1</v>
      </c>
      <c r="L15" s="1">
        <v>0</v>
      </c>
      <c r="M15" s="1">
        <v>0</v>
      </c>
      <c r="N15" s="1">
        <v>1</v>
      </c>
      <c r="O15" s="1">
        <v>0</v>
      </c>
      <c r="P15" s="1">
        <v>0</v>
      </c>
      <c r="Q15" s="1">
        <v>0</v>
      </c>
      <c r="R15" s="1">
        <v>0</v>
      </c>
      <c r="S15" s="1">
        <v>0</v>
      </c>
      <c r="T15" s="1">
        <v>0</v>
      </c>
      <c r="U15" s="1">
        <v>1</v>
      </c>
      <c r="V15" s="1">
        <v>0</v>
      </c>
      <c r="W15" s="1">
        <v>0</v>
      </c>
      <c r="X15" s="1">
        <v>0</v>
      </c>
      <c r="Y15" s="2">
        <v>1</v>
      </c>
      <c r="Z15" s="1">
        <f t="shared" si="9"/>
        <v>3</v>
      </c>
      <c r="AA15" s="1">
        <f t="shared" si="10"/>
        <v>0</v>
      </c>
      <c r="AB15" s="1">
        <f t="shared" si="11"/>
        <v>2</v>
      </c>
      <c r="AC15" s="1">
        <f t="shared" si="12"/>
        <v>5</v>
      </c>
      <c r="AD15" s="1">
        <f t="shared" si="4"/>
        <v>2.5</v>
      </c>
      <c r="AE15" s="1">
        <f t="shared" si="5"/>
        <v>0</v>
      </c>
      <c r="AF15" s="1">
        <f t="shared" si="6"/>
        <v>2</v>
      </c>
      <c r="AG15" s="1">
        <f t="shared" si="7"/>
        <v>1.5</v>
      </c>
    </row>
    <row r="16" spans="1:35" ht="14.4" x14ac:dyDescent="0.3">
      <c r="A16" s="1" t="s">
        <v>138</v>
      </c>
      <c r="B16" s="22" t="s">
        <v>157</v>
      </c>
      <c r="C16" s="22">
        <v>14</v>
      </c>
      <c r="D16" s="22">
        <v>0</v>
      </c>
      <c r="E16" s="22">
        <v>0</v>
      </c>
      <c r="F16" s="22">
        <v>2</v>
      </c>
      <c r="G16" s="3" t="s">
        <v>48</v>
      </c>
      <c r="H16" s="3" t="s">
        <v>140</v>
      </c>
      <c r="I16" s="1">
        <v>0</v>
      </c>
      <c r="J16" s="1">
        <v>0</v>
      </c>
      <c r="K16" s="1">
        <v>0</v>
      </c>
      <c r="L16" s="1">
        <v>0</v>
      </c>
      <c r="M16" s="1">
        <v>0</v>
      </c>
      <c r="N16" s="1">
        <v>0</v>
      </c>
      <c r="O16" s="1">
        <v>0</v>
      </c>
      <c r="P16" s="1">
        <v>0</v>
      </c>
      <c r="Q16" s="1">
        <v>0</v>
      </c>
      <c r="R16" s="1">
        <v>0</v>
      </c>
      <c r="S16" s="1">
        <v>0</v>
      </c>
      <c r="T16" s="1">
        <v>0</v>
      </c>
      <c r="U16" s="1">
        <v>0</v>
      </c>
      <c r="V16" s="1">
        <v>0</v>
      </c>
      <c r="W16" s="1">
        <v>0</v>
      </c>
      <c r="X16" s="1">
        <v>0</v>
      </c>
      <c r="Y16" s="2">
        <v>1</v>
      </c>
      <c r="Z16" s="1">
        <f t="shared" si="9"/>
        <v>0</v>
      </c>
      <c r="AA16" s="1">
        <f t="shared" si="10"/>
        <v>0</v>
      </c>
      <c r="AB16" s="1">
        <f t="shared" si="11"/>
        <v>1</v>
      </c>
      <c r="AC16" s="1">
        <f t="shared" si="12"/>
        <v>1</v>
      </c>
      <c r="AD16" s="1">
        <f t="shared" si="4"/>
        <v>0</v>
      </c>
      <c r="AE16" s="1">
        <f t="shared" si="5"/>
        <v>0</v>
      </c>
      <c r="AF16" s="1">
        <f t="shared" si="6"/>
        <v>1</v>
      </c>
      <c r="AG16" s="1">
        <f t="shared" si="7"/>
        <v>0.33333333333333331</v>
      </c>
      <c r="AH16" s="1" t="s">
        <v>158</v>
      </c>
    </row>
    <row r="17" spans="1:34" ht="14.4" x14ac:dyDescent="0.3">
      <c r="A17" s="1" t="s">
        <v>138</v>
      </c>
      <c r="B17" s="22" t="s">
        <v>159</v>
      </c>
      <c r="C17" s="22">
        <v>15</v>
      </c>
      <c r="D17" s="22">
        <v>1</v>
      </c>
      <c r="E17" s="22">
        <v>0</v>
      </c>
      <c r="F17" s="22">
        <v>2</v>
      </c>
      <c r="G17" s="3" t="s">
        <v>43</v>
      </c>
      <c r="H17" s="3" t="s">
        <v>160</v>
      </c>
      <c r="I17" s="1">
        <v>2</v>
      </c>
      <c r="J17" s="1">
        <v>1</v>
      </c>
      <c r="K17" s="1">
        <v>1</v>
      </c>
      <c r="L17" s="1">
        <v>1</v>
      </c>
      <c r="M17" s="1">
        <v>1</v>
      </c>
      <c r="N17" s="1">
        <v>1</v>
      </c>
      <c r="O17" s="1">
        <v>0</v>
      </c>
      <c r="P17" s="1">
        <v>0</v>
      </c>
      <c r="Q17" s="1">
        <v>0</v>
      </c>
      <c r="R17" s="1">
        <v>0</v>
      </c>
      <c r="S17" s="1">
        <v>0</v>
      </c>
      <c r="T17" s="1">
        <v>0</v>
      </c>
      <c r="U17" s="1">
        <v>0</v>
      </c>
      <c r="V17" s="1">
        <v>0</v>
      </c>
      <c r="W17" s="1">
        <v>0</v>
      </c>
      <c r="X17" s="1">
        <v>0</v>
      </c>
      <c r="Y17" s="2">
        <v>1</v>
      </c>
      <c r="Z17" s="1">
        <f t="shared" si="9"/>
        <v>5</v>
      </c>
      <c r="AA17" s="1">
        <f t="shared" si="10"/>
        <v>0</v>
      </c>
      <c r="AB17" s="1">
        <f t="shared" si="11"/>
        <v>1</v>
      </c>
      <c r="AC17" s="1">
        <f t="shared" si="12"/>
        <v>6</v>
      </c>
      <c r="AD17" s="1">
        <f t="shared" si="4"/>
        <v>4.166666666666667</v>
      </c>
      <c r="AE17" s="1">
        <f t="shared" si="5"/>
        <v>0</v>
      </c>
      <c r="AF17" s="1">
        <f t="shared" si="6"/>
        <v>1</v>
      </c>
      <c r="AG17" s="1">
        <f t="shared" si="7"/>
        <v>1.7222222222222223</v>
      </c>
    </row>
    <row r="18" spans="1:34" ht="14.4" x14ac:dyDescent="0.3">
      <c r="A18" s="1" t="s">
        <v>138</v>
      </c>
      <c r="B18" s="22" t="s">
        <v>161</v>
      </c>
      <c r="C18" s="22">
        <v>16</v>
      </c>
      <c r="D18" s="22">
        <v>1</v>
      </c>
      <c r="E18" s="22">
        <v>0</v>
      </c>
      <c r="F18" s="22">
        <v>2</v>
      </c>
      <c r="G18" s="3" t="s">
        <v>93</v>
      </c>
      <c r="H18" s="3" t="s">
        <v>148</v>
      </c>
      <c r="I18" s="1">
        <v>3</v>
      </c>
      <c r="J18" s="1">
        <v>1</v>
      </c>
      <c r="K18" s="1">
        <v>1</v>
      </c>
      <c r="L18" s="1">
        <v>1</v>
      </c>
      <c r="M18" s="1">
        <v>1</v>
      </c>
      <c r="N18" s="2">
        <v>1</v>
      </c>
      <c r="O18" s="1">
        <v>1</v>
      </c>
      <c r="P18" s="1">
        <v>0</v>
      </c>
      <c r="Q18" s="2">
        <v>0</v>
      </c>
      <c r="R18" s="2">
        <v>0</v>
      </c>
      <c r="S18" s="1">
        <v>0</v>
      </c>
      <c r="T18" s="1">
        <v>0</v>
      </c>
      <c r="U18" s="2">
        <v>1</v>
      </c>
      <c r="V18" s="1">
        <v>0</v>
      </c>
      <c r="W18" s="2">
        <v>0</v>
      </c>
      <c r="X18" s="2">
        <v>0</v>
      </c>
      <c r="Y18" s="2">
        <v>1</v>
      </c>
      <c r="Z18" s="1">
        <f t="shared" si="9"/>
        <v>6</v>
      </c>
      <c r="AA18" s="1">
        <f t="shared" si="10"/>
        <v>0</v>
      </c>
      <c r="AB18" s="1">
        <f t="shared" si="11"/>
        <v>2</v>
      </c>
      <c r="AC18" s="1">
        <f t="shared" si="12"/>
        <v>8</v>
      </c>
      <c r="AD18" s="1">
        <f t="shared" si="4"/>
        <v>5</v>
      </c>
      <c r="AE18" s="1">
        <f t="shared" si="5"/>
        <v>0</v>
      </c>
      <c r="AF18" s="1">
        <f t="shared" si="6"/>
        <v>2</v>
      </c>
      <c r="AG18" s="1">
        <f t="shared" si="7"/>
        <v>2.3333333333333335</v>
      </c>
    </row>
    <row r="19" spans="1:34" ht="14.4" x14ac:dyDescent="0.3">
      <c r="A19" s="1" t="s">
        <v>138</v>
      </c>
      <c r="B19" s="22" t="s">
        <v>162</v>
      </c>
      <c r="C19" s="22">
        <v>17</v>
      </c>
      <c r="D19" s="22">
        <v>1</v>
      </c>
      <c r="E19" s="22">
        <v>0</v>
      </c>
      <c r="F19" s="22">
        <v>2</v>
      </c>
      <c r="G19" s="3" t="s">
        <v>50</v>
      </c>
      <c r="H19" s="3" t="s">
        <v>140</v>
      </c>
      <c r="I19" s="1">
        <v>3</v>
      </c>
      <c r="J19" s="1">
        <v>1</v>
      </c>
      <c r="K19" s="1">
        <v>1</v>
      </c>
      <c r="L19" s="1">
        <v>1</v>
      </c>
      <c r="M19" s="1">
        <v>1</v>
      </c>
      <c r="N19" s="1">
        <v>1</v>
      </c>
      <c r="O19" s="1">
        <v>1</v>
      </c>
      <c r="P19" s="1">
        <v>0</v>
      </c>
      <c r="Q19" s="1">
        <v>0</v>
      </c>
      <c r="R19" s="1">
        <v>0</v>
      </c>
      <c r="S19" s="1">
        <v>0</v>
      </c>
      <c r="T19" s="1">
        <v>0</v>
      </c>
      <c r="U19" s="1">
        <v>1</v>
      </c>
      <c r="V19" s="1">
        <v>0</v>
      </c>
      <c r="W19" s="1">
        <v>0</v>
      </c>
      <c r="X19" s="1">
        <v>0</v>
      </c>
      <c r="Y19" s="2">
        <v>1</v>
      </c>
      <c r="Z19" s="1">
        <f t="shared" si="9"/>
        <v>6</v>
      </c>
      <c r="AA19" s="1">
        <f t="shared" si="10"/>
        <v>0</v>
      </c>
      <c r="AB19" s="1">
        <f t="shared" si="11"/>
        <v>2</v>
      </c>
      <c r="AC19" s="1">
        <f t="shared" si="12"/>
        <v>8</v>
      </c>
      <c r="AD19" s="1">
        <f t="shared" si="4"/>
        <v>5</v>
      </c>
      <c r="AE19" s="1">
        <f t="shared" si="5"/>
        <v>0</v>
      </c>
      <c r="AF19" s="1">
        <f t="shared" si="6"/>
        <v>2</v>
      </c>
      <c r="AG19" s="1">
        <f t="shared" si="7"/>
        <v>2.3333333333333335</v>
      </c>
    </row>
    <row r="20" spans="1:34" ht="14.4" x14ac:dyDescent="0.3">
      <c r="A20" s="1" t="s">
        <v>138</v>
      </c>
      <c r="B20" s="22" t="s">
        <v>163</v>
      </c>
      <c r="C20" s="22">
        <v>18</v>
      </c>
      <c r="D20" s="22">
        <v>0</v>
      </c>
      <c r="E20" s="22">
        <v>0</v>
      </c>
      <c r="F20" s="22">
        <v>2</v>
      </c>
      <c r="G20" s="3" t="s">
        <v>93</v>
      </c>
      <c r="H20" s="3" t="s">
        <v>46</v>
      </c>
      <c r="I20" s="1">
        <v>1</v>
      </c>
      <c r="J20" s="1">
        <v>0</v>
      </c>
      <c r="K20" s="1">
        <v>1</v>
      </c>
      <c r="L20" s="1">
        <v>0</v>
      </c>
      <c r="M20" s="1">
        <v>1</v>
      </c>
      <c r="N20" s="1">
        <v>0</v>
      </c>
      <c r="O20" s="1">
        <v>0</v>
      </c>
      <c r="P20" s="1">
        <v>0</v>
      </c>
      <c r="Q20" s="1">
        <v>0</v>
      </c>
      <c r="R20" s="1">
        <v>0</v>
      </c>
      <c r="S20" s="1">
        <v>0</v>
      </c>
      <c r="T20" s="1">
        <v>0</v>
      </c>
      <c r="U20" s="1">
        <v>0</v>
      </c>
      <c r="V20" s="1">
        <v>0</v>
      </c>
      <c r="W20" s="1">
        <v>0</v>
      </c>
      <c r="X20" s="1">
        <v>0</v>
      </c>
      <c r="Y20" s="2">
        <v>1</v>
      </c>
      <c r="Z20" s="1">
        <f t="shared" si="9"/>
        <v>2</v>
      </c>
      <c r="AA20" s="1">
        <f t="shared" si="10"/>
        <v>0</v>
      </c>
      <c r="AB20" s="1">
        <f t="shared" si="11"/>
        <v>1</v>
      </c>
      <c r="AC20" s="1">
        <f t="shared" si="12"/>
        <v>3</v>
      </c>
      <c r="AD20" s="1">
        <f t="shared" si="4"/>
        <v>1.6666666666666665</v>
      </c>
      <c r="AE20" s="1">
        <f t="shared" si="5"/>
        <v>0</v>
      </c>
      <c r="AF20" s="1">
        <f t="shared" si="6"/>
        <v>1</v>
      </c>
      <c r="AG20" s="1">
        <f t="shared" si="7"/>
        <v>0.88888888888888884</v>
      </c>
    </row>
    <row r="21" spans="1:34" ht="14.4" x14ac:dyDescent="0.3">
      <c r="A21" s="1" t="s">
        <v>138</v>
      </c>
      <c r="B21" s="22" t="s">
        <v>164</v>
      </c>
      <c r="C21" s="22">
        <v>19</v>
      </c>
      <c r="D21" s="22">
        <v>0</v>
      </c>
      <c r="E21" s="22">
        <v>1</v>
      </c>
      <c r="F21" s="22">
        <v>1</v>
      </c>
      <c r="G21" s="3" t="s">
        <v>89</v>
      </c>
      <c r="H21" s="51" t="s">
        <v>165</v>
      </c>
      <c r="I21" s="1">
        <v>0</v>
      </c>
      <c r="J21" s="1">
        <v>1</v>
      </c>
      <c r="K21" s="1">
        <v>0</v>
      </c>
      <c r="L21" s="1">
        <v>0</v>
      </c>
      <c r="M21" s="1">
        <v>0</v>
      </c>
      <c r="N21" s="1">
        <v>0</v>
      </c>
      <c r="O21" s="1">
        <v>0</v>
      </c>
      <c r="P21" s="1">
        <v>0</v>
      </c>
      <c r="Q21" s="1">
        <v>1</v>
      </c>
      <c r="R21" s="1">
        <v>0</v>
      </c>
      <c r="S21" s="1">
        <v>0</v>
      </c>
      <c r="T21" s="1">
        <v>0</v>
      </c>
      <c r="U21" s="1">
        <v>0</v>
      </c>
      <c r="V21" s="1">
        <v>0</v>
      </c>
      <c r="W21" s="1">
        <v>0</v>
      </c>
      <c r="X21" s="1">
        <v>1</v>
      </c>
      <c r="Y21" s="2">
        <v>1</v>
      </c>
      <c r="Z21" s="1">
        <f t="shared" ref="Z21:Z23" si="13">SUM(J21:O21)</f>
        <v>1</v>
      </c>
      <c r="AA21" s="1">
        <f t="shared" si="10"/>
        <v>1</v>
      </c>
      <c r="AB21" s="1">
        <f t="shared" si="11"/>
        <v>2</v>
      </c>
      <c r="AC21" s="1">
        <f t="shared" si="12"/>
        <v>4</v>
      </c>
      <c r="AD21" s="1">
        <f t="shared" si="4"/>
        <v>0.83333333333333326</v>
      </c>
      <c r="AE21" s="1">
        <f t="shared" si="5"/>
        <v>1</v>
      </c>
      <c r="AF21" s="1">
        <f t="shared" si="6"/>
        <v>2</v>
      </c>
      <c r="AG21" s="1">
        <f t="shared" si="7"/>
        <v>1.2777777777777777</v>
      </c>
    </row>
    <row r="22" spans="1:34" s="37" customFormat="1" ht="14.4" x14ac:dyDescent="0.3">
      <c r="A22" s="37" t="s">
        <v>138</v>
      </c>
      <c r="B22" s="35" t="s">
        <v>166</v>
      </c>
      <c r="C22" s="35">
        <v>20</v>
      </c>
      <c r="D22" s="35">
        <v>0</v>
      </c>
      <c r="E22" s="35">
        <v>0</v>
      </c>
      <c r="F22" s="35">
        <v>0</v>
      </c>
      <c r="G22" s="36"/>
      <c r="H22" s="36"/>
      <c r="Y22" s="38"/>
      <c r="Z22" s="37">
        <f t="shared" si="13"/>
        <v>0</v>
      </c>
      <c r="AA22" s="37">
        <f>SUM(P22:T22)</f>
        <v>0</v>
      </c>
      <c r="AB22" s="37">
        <f t="shared" si="11"/>
        <v>0</v>
      </c>
      <c r="AC22" s="37">
        <f t="shared" si="12"/>
        <v>0</v>
      </c>
      <c r="AD22" s="37">
        <f t="shared" si="4"/>
        <v>0</v>
      </c>
      <c r="AE22" s="37">
        <f t="shared" si="5"/>
        <v>0</v>
      </c>
      <c r="AF22" s="37">
        <f t="shared" si="6"/>
        <v>0</v>
      </c>
      <c r="AG22" s="37">
        <f t="shared" si="7"/>
        <v>0</v>
      </c>
    </row>
    <row r="23" spans="1:34" ht="14.4" x14ac:dyDescent="0.3">
      <c r="A23" s="1" t="s">
        <v>138</v>
      </c>
      <c r="B23" s="22" t="s">
        <v>167</v>
      </c>
      <c r="C23" s="22">
        <v>21</v>
      </c>
      <c r="D23" s="22">
        <v>1</v>
      </c>
      <c r="E23" s="22">
        <v>0</v>
      </c>
      <c r="F23" s="22">
        <v>2</v>
      </c>
      <c r="G23" s="3" t="s">
        <v>43</v>
      </c>
      <c r="H23" s="3" t="s">
        <v>46</v>
      </c>
      <c r="I23" s="1">
        <v>2</v>
      </c>
      <c r="J23" s="1">
        <v>1</v>
      </c>
      <c r="K23" s="1">
        <v>1</v>
      </c>
      <c r="L23" s="1">
        <v>0</v>
      </c>
      <c r="M23" s="1">
        <v>1</v>
      </c>
      <c r="N23" s="1">
        <v>1</v>
      </c>
      <c r="O23" s="1">
        <v>0</v>
      </c>
      <c r="P23" s="1">
        <v>0</v>
      </c>
      <c r="Q23" s="1">
        <v>0</v>
      </c>
      <c r="R23" s="1">
        <v>0</v>
      </c>
      <c r="S23" s="1">
        <v>0</v>
      </c>
      <c r="T23" s="1">
        <v>0</v>
      </c>
      <c r="U23" s="1">
        <v>0</v>
      </c>
      <c r="V23" s="1">
        <v>0</v>
      </c>
      <c r="W23" s="1">
        <v>0</v>
      </c>
      <c r="X23" s="1">
        <v>0</v>
      </c>
      <c r="Y23" s="2">
        <v>1</v>
      </c>
      <c r="Z23" s="1">
        <f t="shared" si="13"/>
        <v>4</v>
      </c>
      <c r="AA23" s="1">
        <f>SUM(P23:T23)</f>
        <v>0</v>
      </c>
      <c r="AB23" s="1">
        <f t="shared" si="11"/>
        <v>1</v>
      </c>
      <c r="AC23" s="1">
        <f t="shared" si="12"/>
        <v>5</v>
      </c>
      <c r="AD23" s="1">
        <f t="shared" si="4"/>
        <v>3.333333333333333</v>
      </c>
      <c r="AE23" s="1">
        <f t="shared" si="5"/>
        <v>0</v>
      </c>
      <c r="AF23" s="1">
        <f t="shared" si="6"/>
        <v>1</v>
      </c>
      <c r="AG23" s="1">
        <f t="shared" si="7"/>
        <v>1.4444444444444444</v>
      </c>
    </row>
    <row r="24" spans="1:34" ht="14.4" x14ac:dyDescent="0.3">
      <c r="A24" s="1" t="s">
        <v>138</v>
      </c>
      <c r="B24" s="22" t="s">
        <v>168</v>
      </c>
      <c r="C24" s="22">
        <v>22</v>
      </c>
      <c r="D24" s="22">
        <v>1</v>
      </c>
      <c r="E24" s="22">
        <v>1</v>
      </c>
      <c r="F24" s="22">
        <v>2</v>
      </c>
      <c r="G24" s="3" t="s">
        <v>89</v>
      </c>
      <c r="H24" s="3" t="s">
        <v>46</v>
      </c>
      <c r="I24" s="1">
        <v>1</v>
      </c>
      <c r="J24" s="1">
        <v>1</v>
      </c>
      <c r="K24" s="1">
        <v>1</v>
      </c>
      <c r="L24" s="1">
        <v>1</v>
      </c>
      <c r="M24" s="1">
        <v>1</v>
      </c>
      <c r="N24" s="1">
        <v>1</v>
      </c>
      <c r="O24" s="1">
        <v>0</v>
      </c>
      <c r="P24" s="1">
        <v>0</v>
      </c>
      <c r="Q24" s="1">
        <v>0</v>
      </c>
      <c r="R24" s="1">
        <v>0</v>
      </c>
      <c r="S24" s="1">
        <v>0</v>
      </c>
      <c r="T24" s="1">
        <v>0</v>
      </c>
      <c r="U24" s="1">
        <v>0</v>
      </c>
      <c r="V24" s="1">
        <v>0</v>
      </c>
      <c r="W24" s="1">
        <v>0</v>
      </c>
      <c r="X24" s="1">
        <v>0</v>
      </c>
      <c r="Y24" s="2">
        <v>1</v>
      </c>
      <c r="Z24" s="1">
        <f t="shared" ref="Z24:Z27" si="14">SUM(J24:O24)</f>
        <v>5</v>
      </c>
      <c r="AA24" s="1">
        <f t="shared" ref="AA24:AA27" si="15">SUM(P24:T24)</f>
        <v>0</v>
      </c>
      <c r="AB24" s="1">
        <f t="shared" si="11"/>
        <v>1</v>
      </c>
      <c r="AC24" s="1">
        <f t="shared" si="12"/>
        <v>6</v>
      </c>
      <c r="AD24" s="1">
        <f t="shared" si="4"/>
        <v>4.166666666666667</v>
      </c>
      <c r="AE24" s="1">
        <f t="shared" si="5"/>
        <v>0</v>
      </c>
      <c r="AF24" s="1">
        <f t="shared" si="6"/>
        <v>1</v>
      </c>
      <c r="AG24" s="1">
        <f t="shared" si="7"/>
        <v>1.7222222222222223</v>
      </c>
    </row>
    <row r="25" spans="1:34" ht="14.4" x14ac:dyDescent="0.3">
      <c r="A25" s="1" t="s">
        <v>138</v>
      </c>
      <c r="B25" s="22" t="s">
        <v>169</v>
      </c>
      <c r="C25" s="22">
        <v>23</v>
      </c>
      <c r="D25" s="22">
        <v>1</v>
      </c>
      <c r="E25" s="22">
        <v>0</v>
      </c>
      <c r="F25" s="22">
        <v>2</v>
      </c>
      <c r="H25" s="3" t="s">
        <v>46</v>
      </c>
      <c r="I25" s="1">
        <v>2</v>
      </c>
      <c r="J25" s="1">
        <v>1</v>
      </c>
      <c r="K25" s="1">
        <v>1</v>
      </c>
      <c r="L25" s="1">
        <v>1</v>
      </c>
      <c r="M25" s="1">
        <v>1</v>
      </c>
      <c r="N25" s="1">
        <v>1</v>
      </c>
      <c r="O25" s="1">
        <v>0</v>
      </c>
      <c r="P25" s="1">
        <v>0</v>
      </c>
      <c r="Q25" s="1">
        <v>0</v>
      </c>
      <c r="R25" s="1">
        <v>0</v>
      </c>
      <c r="S25" s="1">
        <v>0</v>
      </c>
      <c r="T25" s="1">
        <v>0</v>
      </c>
      <c r="U25" s="1">
        <v>0</v>
      </c>
      <c r="V25" s="1">
        <v>0</v>
      </c>
      <c r="W25" s="1">
        <v>0</v>
      </c>
      <c r="X25" s="1">
        <v>0</v>
      </c>
      <c r="Y25" s="2">
        <v>1</v>
      </c>
      <c r="Z25" s="1">
        <f t="shared" si="14"/>
        <v>5</v>
      </c>
      <c r="AA25" s="1">
        <f t="shared" si="15"/>
        <v>0</v>
      </c>
      <c r="AB25" s="1">
        <f t="shared" si="11"/>
        <v>1</v>
      </c>
      <c r="AC25" s="1">
        <f t="shared" si="12"/>
        <v>6</v>
      </c>
      <c r="AD25" s="1">
        <f t="shared" si="4"/>
        <v>4.166666666666667</v>
      </c>
      <c r="AE25" s="1">
        <f t="shared" si="5"/>
        <v>0</v>
      </c>
      <c r="AF25" s="1">
        <f t="shared" si="6"/>
        <v>1</v>
      </c>
      <c r="AG25" s="1">
        <f t="shared" si="7"/>
        <v>1.7222222222222223</v>
      </c>
    </row>
    <row r="26" spans="1:34" ht="14.4" x14ac:dyDescent="0.3">
      <c r="A26" s="1" t="s">
        <v>138</v>
      </c>
      <c r="B26" s="22" t="s">
        <v>170</v>
      </c>
      <c r="C26" s="22">
        <v>32</v>
      </c>
      <c r="D26" s="22">
        <v>0</v>
      </c>
      <c r="E26" s="22">
        <v>1</v>
      </c>
      <c r="F26" s="22">
        <v>0</v>
      </c>
      <c r="G26" s="3" t="s">
        <v>43</v>
      </c>
      <c r="H26" s="3" t="s">
        <v>46</v>
      </c>
      <c r="I26" s="1">
        <v>0</v>
      </c>
      <c r="J26" s="1">
        <v>0</v>
      </c>
      <c r="K26" s="1">
        <v>0</v>
      </c>
      <c r="L26" s="1">
        <v>0</v>
      </c>
      <c r="M26" s="1">
        <v>1</v>
      </c>
      <c r="N26" s="1">
        <v>0</v>
      </c>
      <c r="O26" s="1">
        <v>0</v>
      </c>
      <c r="P26" s="1">
        <v>0</v>
      </c>
      <c r="Q26" s="1">
        <v>0</v>
      </c>
      <c r="R26" s="1">
        <v>0</v>
      </c>
      <c r="S26" s="1">
        <v>0</v>
      </c>
      <c r="T26" s="1">
        <v>0</v>
      </c>
      <c r="U26" s="1">
        <v>0</v>
      </c>
      <c r="V26" s="1">
        <v>0</v>
      </c>
      <c r="W26" s="1">
        <v>0</v>
      </c>
      <c r="X26" s="1">
        <v>0</v>
      </c>
      <c r="Y26" s="2">
        <v>0</v>
      </c>
      <c r="Z26" s="1">
        <f>SUM(J26:O26)</f>
        <v>1</v>
      </c>
      <c r="AA26" s="1">
        <f>SUM(P26:T26)</f>
        <v>0</v>
      </c>
      <c r="AB26" s="1">
        <f>SUM(U26:Y26)</f>
        <v>0</v>
      </c>
      <c r="AC26" s="1">
        <f>SUM(Z26:AB26)</f>
        <v>1</v>
      </c>
      <c r="AD26" s="1">
        <f>Z26/6*5</f>
        <v>0.83333333333333326</v>
      </c>
      <c r="AE26" s="1">
        <f>AA26/5*5</f>
        <v>0</v>
      </c>
      <c r="AF26" s="1">
        <f xml:space="preserve"> AB26/5*5</f>
        <v>0</v>
      </c>
      <c r="AG26" s="1">
        <f>SUM(AD26:AF26)/3</f>
        <v>0.27777777777777773</v>
      </c>
      <c r="AH26" s="1" t="s">
        <v>171</v>
      </c>
    </row>
    <row r="27" spans="1:34" ht="15" customHeight="1" x14ac:dyDescent="0.3">
      <c r="A27" s="1" t="s">
        <v>138</v>
      </c>
      <c r="B27" s="22" t="s">
        <v>172</v>
      </c>
      <c r="C27" s="22">
        <v>25</v>
      </c>
      <c r="D27" s="22">
        <v>1</v>
      </c>
      <c r="E27" s="22">
        <v>0</v>
      </c>
      <c r="F27" s="22">
        <v>2</v>
      </c>
      <c r="G27" s="3" t="s">
        <v>48</v>
      </c>
      <c r="H27" s="3" t="s">
        <v>46</v>
      </c>
      <c r="I27" s="1">
        <v>2</v>
      </c>
      <c r="J27" s="1">
        <v>1</v>
      </c>
      <c r="K27" s="1">
        <v>1</v>
      </c>
      <c r="L27" s="1">
        <v>1</v>
      </c>
      <c r="M27" s="1">
        <v>1</v>
      </c>
      <c r="N27" s="1">
        <v>1</v>
      </c>
      <c r="O27" s="1">
        <v>0</v>
      </c>
      <c r="P27" s="1">
        <v>0</v>
      </c>
      <c r="Q27" s="1">
        <v>0</v>
      </c>
      <c r="R27" s="1">
        <v>0</v>
      </c>
      <c r="S27" s="1">
        <v>0</v>
      </c>
      <c r="T27" s="1">
        <v>0</v>
      </c>
      <c r="U27" s="1">
        <v>1</v>
      </c>
      <c r="V27" s="1">
        <v>0</v>
      </c>
      <c r="W27" s="1">
        <v>0</v>
      </c>
      <c r="X27" s="1">
        <v>1</v>
      </c>
      <c r="Y27" s="2">
        <v>1</v>
      </c>
      <c r="Z27" s="1">
        <f t="shared" si="14"/>
        <v>5</v>
      </c>
      <c r="AA27" s="1">
        <f t="shared" si="15"/>
        <v>0</v>
      </c>
      <c r="AB27" s="1">
        <f t="shared" si="11"/>
        <v>3</v>
      </c>
      <c r="AC27" s="1">
        <f t="shared" si="12"/>
        <v>8</v>
      </c>
      <c r="AD27" s="1">
        <f t="shared" si="4"/>
        <v>4.166666666666667</v>
      </c>
      <c r="AE27" s="1">
        <f t="shared" si="5"/>
        <v>0</v>
      </c>
      <c r="AF27" s="1">
        <f t="shared" si="6"/>
        <v>3</v>
      </c>
      <c r="AG27" s="1">
        <f t="shared" si="7"/>
        <v>2.3888888888888888</v>
      </c>
    </row>
    <row r="28" spans="1:34" ht="14.4" x14ac:dyDescent="0.3">
      <c r="C28" s="22"/>
    </row>
    <row r="29" spans="1:34" ht="14.4" x14ac:dyDescent="0.3">
      <c r="C29" s="22"/>
    </row>
    <row r="30" spans="1:34" ht="14.4" x14ac:dyDescent="0.3">
      <c r="C30" s="22"/>
    </row>
    <row r="31" spans="1:34" ht="14.4" x14ac:dyDescent="0.3">
      <c r="C31" s="22"/>
    </row>
    <row r="32" spans="1:34" ht="14.4" x14ac:dyDescent="0.3">
      <c r="C32" s="22"/>
    </row>
    <row r="33" spans="3:3" ht="14.4" x14ac:dyDescent="0.3">
      <c r="C33" s="22"/>
    </row>
    <row r="34" spans="3:3" ht="14.4" x14ac:dyDescent="0.3">
      <c r="C34" s="22"/>
    </row>
    <row r="35" spans="3:3" ht="14.4" x14ac:dyDescent="0.3">
      <c r="C35" s="22"/>
    </row>
    <row r="36" spans="3:3" ht="14.4" x14ac:dyDescent="0.3">
      <c r="C36" s="22"/>
    </row>
    <row r="37" spans="3:3" ht="14.4" x14ac:dyDescent="0.3">
      <c r="C37" s="22"/>
    </row>
    <row r="38" spans="3:3" ht="14.4" x14ac:dyDescent="0.3">
      <c r="C38" s="22"/>
    </row>
    <row r="39" spans="3:3" ht="14.4" x14ac:dyDescent="0.3">
      <c r="C39" s="22"/>
    </row>
    <row r="40" spans="3:3" ht="14.4" x14ac:dyDescent="0.3">
      <c r="C40" s="22"/>
    </row>
    <row r="41" spans="3:3" ht="14.4" x14ac:dyDescent="0.3">
      <c r="C41" s="22"/>
    </row>
    <row r="42" spans="3:3" ht="14.4" x14ac:dyDescent="0.3">
      <c r="C42" s="22"/>
    </row>
    <row r="43" spans="3:3" ht="14.4" x14ac:dyDescent="0.3">
      <c r="C43" s="22"/>
    </row>
    <row r="44" spans="3:3" ht="14.4" x14ac:dyDescent="0.3">
      <c r="C44" s="22"/>
    </row>
    <row r="45" spans="3:3" ht="14.4" x14ac:dyDescent="0.3">
      <c r="C45" s="22"/>
    </row>
    <row r="46" spans="3:3" ht="14.4" x14ac:dyDescent="0.3">
      <c r="C46" s="22"/>
    </row>
    <row r="47" spans="3:3" ht="14.4" x14ac:dyDescent="0.3">
      <c r="C47" s="22"/>
    </row>
    <row r="48" spans="3:3" ht="14.4" x14ac:dyDescent="0.3">
      <c r="C48" s="22"/>
    </row>
    <row r="49" spans="3:3" ht="14.4" x14ac:dyDescent="0.3">
      <c r="C49" s="22"/>
    </row>
    <row r="50" spans="3:3" ht="14.4" x14ac:dyDescent="0.3">
      <c r="C50" s="22"/>
    </row>
    <row r="51" spans="3:3" ht="14.4" x14ac:dyDescent="0.3">
      <c r="C51" s="22"/>
    </row>
    <row r="52" spans="3:3" ht="14.4" x14ac:dyDescent="0.3">
      <c r="C52" s="22"/>
    </row>
    <row r="53" spans="3:3" ht="14.4" x14ac:dyDescent="0.3">
      <c r="C53" s="22"/>
    </row>
    <row r="54" spans="3:3" ht="14.4" x14ac:dyDescent="0.3">
      <c r="C54" s="22"/>
    </row>
    <row r="55" spans="3:3" ht="14.4" x14ac:dyDescent="0.3">
      <c r="C55" s="22"/>
    </row>
    <row r="56" spans="3:3" ht="14.4" x14ac:dyDescent="0.3"/>
    <row r="57" spans="3:3" ht="14.4" x14ac:dyDescent="0.3"/>
  </sheetData>
  <mergeCells count="3">
    <mergeCell ref="J1:O1"/>
    <mergeCell ref="P1:T1"/>
    <mergeCell ref="U1:Y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EF42-CD6F-4144-8202-D50E1E1A911D}">
  <dimension ref="A1:AI59"/>
  <sheetViews>
    <sheetView zoomScale="55" zoomScaleNormal="55" workbookViewId="0">
      <pane ySplit="2" topLeftCell="A3" activePane="bottomLeft" state="frozen"/>
      <selection pane="bottomLeft" activeCell="AF35" sqref="AF35"/>
    </sheetView>
  </sheetViews>
  <sheetFormatPr defaultColWidth="8.6640625" defaultRowHeight="15" customHeight="1" x14ac:dyDescent="0.3"/>
  <cols>
    <col min="1" max="1" width="19.6640625" style="1" customWidth="1"/>
    <col min="2" max="2" width="31" style="22" customWidth="1"/>
    <col min="3" max="3" width="23.5546875" style="3" customWidth="1"/>
    <col min="4" max="6" width="23.5546875" style="22" customWidth="1"/>
    <col min="7" max="8" width="23.5546875" style="3" customWidth="1"/>
    <col min="9" max="9" width="11.6640625" style="1" customWidth="1"/>
    <col min="10" max="17" width="18.44140625" style="1" customWidth="1"/>
    <col min="18" max="18" width="24.6640625" style="1" customWidth="1"/>
    <col min="19" max="24" width="18.44140625" style="1" customWidth="1"/>
    <col min="25" max="25" width="18.44140625" style="2" customWidth="1"/>
    <col min="26" max="33" width="15.6640625" style="1" customWidth="1"/>
    <col min="34" max="34" width="37.109375" style="1" customWidth="1"/>
    <col min="35" max="35" width="29.6640625" style="1" customWidth="1"/>
    <col min="36" max="16384" width="8.6640625" style="1"/>
  </cols>
  <sheetData>
    <row r="1" spans="1:35" ht="69" customHeight="1" x14ac:dyDescent="0.3">
      <c r="J1" s="66" t="s">
        <v>0</v>
      </c>
      <c r="K1" s="67"/>
      <c r="L1" s="67"/>
      <c r="M1" s="67"/>
      <c r="N1" s="67"/>
      <c r="O1" s="67"/>
      <c r="P1" s="68" t="s">
        <v>31</v>
      </c>
      <c r="Q1" s="69"/>
      <c r="R1" s="69"/>
      <c r="S1" s="69"/>
      <c r="T1" s="70"/>
      <c r="U1" s="71" t="s">
        <v>32</v>
      </c>
      <c r="V1" s="71"/>
      <c r="W1" s="71"/>
      <c r="X1" s="71"/>
      <c r="Y1" s="71"/>
      <c r="Z1" s="20"/>
      <c r="AA1" s="20"/>
    </row>
    <row r="2" spans="1:35" s="10" customFormat="1" ht="124.2" customHeight="1" x14ac:dyDescent="0.3">
      <c r="A2" s="21" t="s">
        <v>33</v>
      </c>
      <c r="B2" s="39" t="s">
        <v>34</v>
      </c>
      <c r="C2" s="21" t="s">
        <v>4</v>
      </c>
      <c r="D2" s="39" t="s">
        <v>35</v>
      </c>
      <c r="E2" s="39" t="s">
        <v>36</v>
      </c>
      <c r="F2" s="39" t="s">
        <v>37</v>
      </c>
      <c r="G2" s="39" t="s">
        <v>38</v>
      </c>
      <c r="H2" s="39" t="s">
        <v>39</v>
      </c>
      <c r="I2" s="19" t="s">
        <v>5</v>
      </c>
      <c r="J2" s="17" t="s">
        <v>6</v>
      </c>
      <c r="K2" s="17" t="s">
        <v>7</v>
      </c>
      <c r="L2" s="17" t="s">
        <v>8</v>
      </c>
      <c r="M2" s="17" t="s">
        <v>9</v>
      </c>
      <c r="N2" s="17" t="s">
        <v>10</v>
      </c>
      <c r="O2" s="17" t="s">
        <v>11</v>
      </c>
      <c r="P2" s="17" t="s">
        <v>12</v>
      </c>
      <c r="Q2" s="18" t="s">
        <v>13</v>
      </c>
      <c r="R2" s="17" t="s">
        <v>14</v>
      </c>
      <c r="S2" s="17" t="s">
        <v>15</v>
      </c>
      <c r="T2" s="18" t="s">
        <v>16</v>
      </c>
      <c r="U2" s="17" t="s">
        <v>17</v>
      </c>
      <c r="V2" s="17" t="s">
        <v>18</v>
      </c>
      <c r="W2" s="17" t="s">
        <v>19</v>
      </c>
      <c r="X2" s="17" t="s">
        <v>20</v>
      </c>
      <c r="Y2" s="16" t="s">
        <v>21</v>
      </c>
      <c r="Z2" s="15" t="s">
        <v>22</v>
      </c>
      <c r="AA2" s="14" t="s">
        <v>23</v>
      </c>
      <c r="AB2" s="13" t="s">
        <v>24</v>
      </c>
      <c r="AC2" s="12" t="s">
        <v>25</v>
      </c>
      <c r="AD2" s="15" t="s">
        <v>26</v>
      </c>
      <c r="AE2" s="14" t="s">
        <v>27</v>
      </c>
      <c r="AF2" s="13" t="s">
        <v>28</v>
      </c>
      <c r="AG2" s="12" t="s">
        <v>29</v>
      </c>
      <c r="AH2" s="41" t="s">
        <v>40</v>
      </c>
      <c r="AI2" s="11" t="s">
        <v>30</v>
      </c>
    </row>
    <row r="3" spans="1:35" ht="14.4" x14ac:dyDescent="0.3">
      <c r="A3" s="1" t="s">
        <v>173</v>
      </c>
      <c r="B3" s="22" t="s">
        <v>174</v>
      </c>
      <c r="C3" s="22">
        <v>1</v>
      </c>
      <c r="D3" s="22">
        <v>1</v>
      </c>
      <c r="E3" s="22">
        <v>0</v>
      </c>
      <c r="F3" s="22">
        <v>2</v>
      </c>
      <c r="G3" s="3" t="s">
        <v>89</v>
      </c>
      <c r="H3" s="3" t="s">
        <v>175</v>
      </c>
      <c r="I3" s="1">
        <v>3</v>
      </c>
      <c r="J3" s="1">
        <v>1</v>
      </c>
      <c r="K3" s="1">
        <v>1</v>
      </c>
      <c r="L3" s="1">
        <v>1</v>
      </c>
      <c r="M3" s="1">
        <v>1</v>
      </c>
      <c r="N3" s="1">
        <v>1</v>
      </c>
      <c r="O3" s="1">
        <v>1</v>
      </c>
      <c r="P3" s="1">
        <v>1</v>
      </c>
      <c r="Q3" s="1">
        <v>0</v>
      </c>
      <c r="R3" s="2">
        <v>0</v>
      </c>
      <c r="S3" s="1">
        <v>0</v>
      </c>
      <c r="T3" s="1">
        <v>0</v>
      </c>
      <c r="U3" s="1">
        <v>1</v>
      </c>
      <c r="V3" s="1">
        <v>1</v>
      </c>
      <c r="W3" s="1">
        <v>0</v>
      </c>
      <c r="X3" s="2">
        <v>0</v>
      </c>
      <c r="Y3" s="2">
        <v>1</v>
      </c>
      <c r="Z3" s="1">
        <f t="shared" ref="Z3:Z4" si="0">SUM(J3:O3)</f>
        <v>6</v>
      </c>
      <c r="AA3" s="1">
        <f t="shared" ref="AA3:AA4" si="1">SUM(P3:T3)</f>
        <v>1</v>
      </c>
      <c r="AB3" s="1">
        <f t="shared" ref="AB3:AB4" si="2">SUM(U3:Y3)</f>
        <v>3</v>
      </c>
      <c r="AC3" s="1">
        <f t="shared" ref="AC3:AC4" si="3">SUM(Z3:AB3)</f>
        <v>10</v>
      </c>
      <c r="AD3" s="1">
        <f t="shared" ref="AD3:AD34" si="4">Z3/6*5</f>
        <v>5</v>
      </c>
      <c r="AE3" s="1">
        <f t="shared" ref="AE3:AE34" si="5">AA3/5*5</f>
        <v>1</v>
      </c>
      <c r="AF3" s="1">
        <f t="shared" ref="AF3:AF34" si="6" xml:space="preserve"> AB3/5*5</f>
        <v>3</v>
      </c>
      <c r="AG3" s="1">
        <f t="shared" ref="AG3:AG34" si="7">SUM(AD3:AF3)/3</f>
        <v>3</v>
      </c>
      <c r="AI3" s="4"/>
    </row>
    <row r="4" spans="1:35" ht="14.4" x14ac:dyDescent="0.3">
      <c r="A4" s="1" t="s">
        <v>173</v>
      </c>
      <c r="B4" s="22" t="s">
        <v>176</v>
      </c>
      <c r="C4" s="22">
        <v>2</v>
      </c>
      <c r="D4" s="22">
        <v>0</v>
      </c>
      <c r="E4" s="22">
        <v>0</v>
      </c>
      <c r="F4" s="22">
        <v>1</v>
      </c>
      <c r="G4" s="3" t="s">
        <v>89</v>
      </c>
      <c r="H4" s="3" t="s">
        <v>134</v>
      </c>
      <c r="I4" s="1">
        <v>1</v>
      </c>
      <c r="J4" s="1">
        <v>1</v>
      </c>
      <c r="K4" s="1">
        <v>0</v>
      </c>
      <c r="L4" s="1">
        <v>0</v>
      </c>
      <c r="M4" s="1">
        <v>0</v>
      </c>
      <c r="N4" s="1">
        <v>0</v>
      </c>
      <c r="O4" s="1">
        <v>0</v>
      </c>
      <c r="P4" s="1">
        <v>0</v>
      </c>
      <c r="Q4" s="1">
        <v>1</v>
      </c>
      <c r="R4" s="1">
        <v>0</v>
      </c>
      <c r="S4" s="1">
        <v>0</v>
      </c>
      <c r="T4" s="1">
        <v>0</v>
      </c>
      <c r="U4" s="1">
        <v>0</v>
      </c>
      <c r="V4" s="1">
        <v>1</v>
      </c>
      <c r="W4" s="1">
        <v>0</v>
      </c>
      <c r="X4" s="1">
        <v>1</v>
      </c>
      <c r="Y4" s="2">
        <v>1</v>
      </c>
      <c r="Z4" s="1">
        <f t="shared" si="0"/>
        <v>1</v>
      </c>
      <c r="AA4" s="1">
        <f t="shared" si="1"/>
        <v>1</v>
      </c>
      <c r="AB4" s="1">
        <f t="shared" si="2"/>
        <v>3</v>
      </c>
      <c r="AC4" s="1">
        <f t="shared" si="3"/>
        <v>5</v>
      </c>
      <c r="AD4" s="1">
        <f t="shared" si="4"/>
        <v>0.83333333333333326</v>
      </c>
      <c r="AE4" s="1">
        <f t="shared" si="5"/>
        <v>1</v>
      </c>
      <c r="AF4" s="1">
        <f t="shared" si="6"/>
        <v>3</v>
      </c>
      <c r="AG4" s="1">
        <f t="shared" si="7"/>
        <v>1.6111111111111109</v>
      </c>
    </row>
    <row r="5" spans="1:35" ht="14.4" x14ac:dyDescent="0.3">
      <c r="A5" s="1" t="s">
        <v>173</v>
      </c>
      <c r="B5" s="22" t="s">
        <v>177</v>
      </c>
      <c r="C5" s="22">
        <v>3</v>
      </c>
      <c r="D5" s="22">
        <v>1</v>
      </c>
      <c r="E5" s="22">
        <v>0</v>
      </c>
      <c r="F5" s="22">
        <v>2</v>
      </c>
      <c r="G5" s="3" t="s">
        <v>48</v>
      </c>
      <c r="H5" s="3" t="s">
        <v>178</v>
      </c>
      <c r="I5" s="1">
        <v>3</v>
      </c>
      <c r="J5" s="1">
        <v>1</v>
      </c>
      <c r="K5" s="1">
        <v>1</v>
      </c>
      <c r="L5" s="1">
        <v>0</v>
      </c>
      <c r="M5" s="1">
        <v>1</v>
      </c>
      <c r="N5" s="2">
        <v>1</v>
      </c>
      <c r="O5" s="1">
        <v>1</v>
      </c>
      <c r="P5" s="1">
        <v>0</v>
      </c>
      <c r="Q5" s="2">
        <v>0</v>
      </c>
      <c r="R5" s="1">
        <v>0</v>
      </c>
      <c r="S5" s="1">
        <v>0</v>
      </c>
      <c r="T5" s="1">
        <v>0</v>
      </c>
      <c r="U5" s="1">
        <v>1</v>
      </c>
      <c r="V5" s="1">
        <v>0</v>
      </c>
      <c r="W5" s="2">
        <v>0</v>
      </c>
      <c r="X5" s="2">
        <v>0</v>
      </c>
      <c r="Y5" s="2">
        <v>1</v>
      </c>
      <c r="Z5" s="1">
        <f t="shared" ref="Z5:Z9" si="8">SUM(J5:O5)</f>
        <v>5</v>
      </c>
      <c r="AA5" s="1">
        <f t="shared" ref="AA5:AA9" si="9">SUM(P5:T5)</f>
        <v>0</v>
      </c>
      <c r="AB5" s="1">
        <f t="shared" ref="AB5:AB9" si="10">SUM(U5:Y5)</f>
        <v>2</v>
      </c>
      <c r="AC5" s="1">
        <f t="shared" ref="AC5:AC9" si="11">SUM(Z5:AB5)</f>
        <v>7</v>
      </c>
      <c r="AD5" s="1">
        <f t="shared" si="4"/>
        <v>4.166666666666667</v>
      </c>
      <c r="AE5" s="1">
        <f t="shared" si="5"/>
        <v>0</v>
      </c>
      <c r="AF5" s="1">
        <f t="shared" si="6"/>
        <v>2</v>
      </c>
      <c r="AG5" s="1">
        <f t="shared" si="7"/>
        <v>2.0555555555555558</v>
      </c>
      <c r="AH5" s="1" t="s">
        <v>179</v>
      </c>
      <c r="AI5" s="6"/>
    </row>
    <row r="6" spans="1:35" s="46" customFormat="1" ht="14.4" x14ac:dyDescent="0.3">
      <c r="A6" s="46" t="s">
        <v>173</v>
      </c>
      <c r="B6" s="40" t="s">
        <v>180</v>
      </c>
      <c r="C6" s="40">
        <v>4</v>
      </c>
      <c r="D6" s="40">
        <v>0</v>
      </c>
      <c r="E6" s="40">
        <v>0</v>
      </c>
      <c r="F6" s="40">
        <v>0</v>
      </c>
      <c r="G6" s="47"/>
      <c r="H6" s="47"/>
      <c r="N6" s="48"/>
      <c r="W6" s="48"/>
      <c r="X6" s="48"/>
      <c r="Y6" s="48"/>
      <c r="Z6" s="46">
        <f t="shared" si="8"/>
        <v>0</v>
      </c>
      <c r="AA6" s="46">
        <f t="shared" si="9"/>
        <v>0</v>
      </c>
      <c r="AB6" s="46">
        <f t="shared" si="10"/>
        <v>0</v>
      </c>
      <c r="AC6" s="46">
        <f t="shared" si="11"/>
        <v>0</v>
      </c>
      <c r="AD6" s="46">
        <f t="shared" si="4"/>
        <v>0</v>
      </c>
      <c r="AE6" s="46">
        <f t="shared" si="5"/>
        <v>0</v>
      </c>
      <c r="AF6" s="46">
        <f t="shared" si="6"/>
        <v>0</v>
      </c>
      <c r="AG6" s="46">
        <f t="shared" si="7"/>
        <v>0</v>
      </c>
      <c r="AI6" s="49"/>
    </row>
    <row r="7" spans="1:35" ht="14.4" x14ac:dyDescent="0.3">
      <c r="A7" s="1" t="s">
        <v>173</v>
      </c>
      <c r="B7" s="22" t="s">
        <v>181</v>
      </c>
      <c r="C7" s="22">
        <v>5</v>
      </c>
      <c r="D7" s="22">
        <v>0</v>
      </c>
      <c r="E7" s="22">
        <v>0</v>
      </c>
      <c r="F7" s="22">
        <v>2</v>
      </c>
      <c r="G7" s="3" t="s">
        <v>50</v>
      </c>
      <c r="H7" s="3" t="s">
        <v>134</v>
      </c>
      <c r="I7" s="1">
        <v>1</v>
      </c>
      <c r="J7" s="1">
        <v>1</v>
      </c>
      <c r="K7" s="1">
        <v>0</v>
      </c>
      <c r="L7" s="1">
        <v>0</v>
      </c>
      <c r="M7" s="1">
        <v>1</v>
      </c>
      <c r="N7" s="2">
        <v>1</v>
      </c>
      <c r="O7" s="1">
        <v>0</v>
      </c>
      <c r="P7" s="1">
        <v>0</v>
      </c>
      <c r="Q7" s="1">
        <v>0</v>
      </c>
      <c r="R7" s="1">
        <v>0</v>
      </c>
      <c r="S7" s="1">
        <v>0</v>
      </c>
      <c r="T7" s="1">
        <v>0</v>
      </c>
      <c r="U7" s="1">
        <v>0</v>
      </c>
      <c r="V7" s="1">
        <v>0</v>
      </c>
      <c r="W7" s="2">
        <v>0</v>
      </c>
      <c r="X7" s="2">
        <v>0</v>
      </c>
      <c r="Y7" s="2">
        <v>1</v>
      </c>
      <c r="Z7" s="1">
        <f t="shared" si="8"/>
        <v>3</v>
      </c>
      <c r="AA7" s="1">
        <f t="shared" si="9"/>
        <v>0</v>
      </c>
      <c r="AB7" s="1">
        <f t="shared" si="10"/>
        <v>1</v>
      </c>
      <c r="AC7" s="1">
        <f t="shared" si="11"/>
        <v>4</v>
      </c>
      <c r="AD7" s="1">
        <f t="shared" si="4"/>
        <v>2.5</v>
      </c>
      <c r="AE7" s="1">
        <f t="shared" si="5"/>
        <v>0</v>
      </c>
      <c r="AF7" s="1">
        <f t="shared" si="6"/>
        <v>1</v>
      </c>
      <c r="AG7" s="1">
        <f t="shared" si="7"/>
        <v>1.1666666666666667</v>
      </c>
      <c r="AI7" s="5"/>
    </row>
    <row r="8" spans="1:35" s="46" customFormat="1" ht="14.4" x14ac:dyDescent="0.3">
      <c r="A8" s="46" t="s">
        <v>173</v>
      </c>
      <c r="B8" s="40" t="s">
        <v>182</v>
      </c>
      <c r="C8" s="40">
        <v>6</v>
      </c>
      <c r="D8" s="40">
        <v>0</v>
      </c>
      <c r="E8" s="40">
        <v>0</v>
      </c>
      <c r="F8" s="40">
        <v>0</v>
      </c>
      <c r="G8" s="47"/>
      <c r="H8" s="47"/>
      <c r="N8" s="48"/>
      <c r="W8" s="48"/>
      <c r="X8" s="48"/>
      <c r="Y8" s="48"/>
      <c r="Z8" s="46">
        <f t="shared" si="8"/>
        <v>0</v>
      </c>
      <c r="AA8" s="46">
        <f t="shared" si="9"/>
        <v>0</v>
      </c>
      <c r="AB8" s="46">
        <f t="shared" si="10"/>
        <v>0</v>
      </c>
      <c r="AC8" s="46">
        <f t="shared" si="11"/>
        <v>0</v>
      </c>
      <c r="AD8" s="46">
        <f t="shared" si="4"/>
        <v>0</v>
      </c>
      <c r="AE8" s="46">
        <f t="shared" si="5"/>
        <v>0</v>
      </c>
      <c r="AF8" s="46">
        <f t="shared" si="6"/>
        <v>0</v>
      </c>
      <c r="AG8" s="46">
        <f t="shared" si="7"/>
        <v>0</v>
      </c>
      <c r="AI8" s="49"/>
    </row>
    <row r="9" spans="1:35" ht="14.4" x14ac:dyDescent="0.3">
      <c r="A9" s="1" t="s">
        <v>173</v>
      </c>
      <c r="B9" s="22" t="s">
        <v>183</v>
      </c>
      <c r="C9" s="22">
        <v>7</v>
      </c>
      <c r="D9" s="22">
        <v>0</v>
      </c>
      <c r="E9" s="22">
        <v>0</v>
      </c>
      <c r="F9" s="22">
        <v>1</v>
      </c>
      <c r="G9" s="3" t="s">
        <v>89</v>
      </c>
      <c r="H9" s="3" t="s">
        <v>126</v>
      </c>
      <c r="I9" s="1">
        <v>0</v>
      </c>
      <c r="J9" s="1">
        <v>1</v>
      </c>
      <c r="K9" s="1">
        <v>0</v>
      </c>
      <c r="L9" s="1">
        <v>0</v>
      </c>
      <c r="M9" s="1">
        <v>0</v>
      </c>
      <c r="N9" s="1">
        <v>0</v>
      </c>
      <c r="O9" s="1">
        <v>0</v>
      </c>
      <c r="P9" s="1">
        <v>0</v>
      </c>
      <c r="Q9" s="1">
        <v>1</v>
      </c>
      <c r="R9" s="1">
        <v>0</v>
      </c>
      <c r="S9" s="1">
        <v>0</v>
      </c>
      <c r="T9" s="1">
        <v>0</v>
      </c>
      <c r="U9" s="1">
        <v>0</v>
      </c>
      <c r="V9" s="1">
        <v>0</v>
      </c>
      <c r="W9" s="1">
        <v>0</v>
      </c>
      <c r="X9" s="1">
        <v>1</v>
      </c>
      <c r="Y9" s="2">
        <v>1</v>
      </c>
      <c r="Z9" s="1">
        <f t="shared" si="8"/>
        <v>1</v>
      </c>
      <c r="AA9" s="1">
        <f t="shared" si="9"/>
        <v>1</v>
      </c>
      <c r="AB9" s="1">
        <f t="shared" si="10"/>
        <v>2</v>
      </c>
      <c r="AC9" s="1">
        <f t="shared" si="11"/>
        <v>4</v>
      </c>
      <c r="AD9" s="1">
        <f t="shared" si="4"/>
        <v>0.83333333333333326</v>
      </c>
      <c r="AE9" s="1">
        <f t="shared" si="5"/>
        <v>1</v>
      </c>
      <c r="AF9" s="1">
        <f t="shared" si="6"/>
        <v>2</v>
      </c>
      <c r="AG9" s="1">
        <f t="shared" si="7"/>
        <v>1.2777777777777777</v>
      </c>
    </row>
    <row r="10" spans="1:35" ht="14.4" x14ac:dyDescent="0.3">
      <c r="A10" s="1" t="s">
        <v>173</v>
      </c>
      <c r="B10" s="22" t="s">
        <v>184</v>
      </c>
      <c r="C10" s="22">
        <v>8</v>
      </c>
      <c r="D10" s="22">
        <v>1</v>
      </c>
      <c r="E10" s="22">
        <v>0</v>
      </c>
      <c r="F10" s="22">
        <v>2</v>
      </c>
      <c r="G10" s="3" t="s">
        <v>50</v>
      </c>
      <c r="H10" s="3" t="s">
        <v>178</v>
      </c>
      <c r="I10" s="1">
        <v>4</v>
      </c>
      <c r="J10" s="1">
        <v>1</v>
      </c>
      <c r="K10" s="1">
        <v>1</v>
      </c>
      <c r="L10" s="1">
        <v>0</v>
      </c>
      <c r="M10" s="1">
        <v>1</v>
      </c>
      <c r="N10" s="1">
        <v>1</v>
      </c>
      <c r="O10" s="1">
        <v>1</v>
      </c>
      <c r="P10" s="1">
        <v>0</v>
      </c>
      <c r="Q10" s="1">
        <v>1</v>
      </c>
      <c r="R10" s="1">
        <v>1</v>
      </c>
      <c r="S10" s="1">
        <v>0</v>
      </c>
      <c r="T10" s="1">
        <v>0</v>
      </c>
      <c r="U10" s="1">
        <v>1</v>
      </c>
      <c r="V10" s="1">
        <v>1</v>
      </c>
      <c r="W10" s="1">
        <v>0</v>
      </c>
      <c r="X10" s="1">
        <v>1</v>
      </c>
      <c r="Y10" s="2">
        <v>1</v>
      </c>
      <c r="Z10" s="1">
        <f t="shared" ref="Z10:Z19" si="12">SUM(J10:O10)</f>
        <v>5</v>
      </c>
      <c r="AA10" s="1">
        <f t="shared" ref="AA10:AA19" si="13">SUM(P10:T10)</f>
        <v>2</v>
      </c>
      <c r="AB10" s="1">
        <f t="shared" ref="AB10:AB19" si="14">SUM(U10:Y10)</f>
        <v>4</v>
      </c>
      <c r="AC10" s="1">
        <f t="shared" ref="AC10:AC19" si="15">SUM(Z10:AB10)</f>
        <v>11</v>
      </c>
      <c r="AD10" s="1">
        <f t="shared" ref="AD10:AD19" si="16">Z10/6*5</f>
        <v>4.166666666666667</v>
      </c>
      <c r="AE10" s="1">
        <f t="shared" ref="AE10:AE19" si="17">AA10/5*5</f>
        <v>2</v>
      </c>
      <c r="AF10" s="1">
        <f t="shared" ref="AF10:AF19" si="18" xml:space="preserve"> AB10/5*5</f>
        <v>4</v>
      </c>
      <c r="AG10" s="1">
        <f t="shared" ref="AG10:AG19" si="19">SUM(AD10:AF10)/3</f>
        <v>3.3888888888888893</v>
      </c>
      <c r="AH10" s="1" t="s">
        <v>185</v>
      </c>
    </row>
    <row r="11" spans="1:35" ht="14.4" x14ac:dyDescent="0.3">
      <c r="A11" s="1" t="s">
        <v>173</v>
      </c>
      <c r="B11" s="22" t="s">
        <v>186</v>
      </c>
      <c r="C11" s="22">
        <v>9</v>
      </c>
      <c r="D11" s="22">
        <v>0</v>
      </c>
      <c r="E11" s="22">
        <v>0</v>
      </c>
      <c r="F11" s="22">
        <v>2</v>
      </c>
      <c r="G11" s="3" t="s">
        <v>50</v>
      </c>
      <c r="H11" s="3" t="s">
        <v>187</v>
      </c>
      <c r="I11" s="1">
        <v>1</v>
      </c>
      <c r="J11" s="1">
        <v>1</v>
      </c>
      <c r="K11" s="1">
        <v>0</v>
      </c>
      <c r="L11" s="1">
        <v>1</v>
      </c>
      <c r="M11" s="1">
        <v>1</v>
      </c>
      <c r="N11" s="1">
        <v>1</v>
      </c>
      <c r="O11" s="1">
        <v>0</v>
      </c>
      <c r="P11" s="1">
        <v>0</v>
      </c>
      <c r="Q11" s="1">
        <v>0</v>
      </c>
      <c r="R11" s="1">
        <v>0</v>
      </c>
      <c r="S11" s="1">
        <v>0</v>
      </c>
      <c r="T11" s="1">
        <v>0</v>
      </c>
      <c r="U11" s="1">
        <v>0</v>
      </c>
      <c r="V11" s="1">
        <v>1</v>
      </c>
      <c r="W11" s="1">
        <v>0</v>
      </c>
      <c r="X11" s="1">
        <v>0</v>
      </c>
      <c r="Y11" s="2">
        <v>1</v>
      </c>
      <c r="Z11" s="1">
        <f t="shared" si="12"/>
        <v>4</v>
      </c>
      <c r="AA11" s="1">
        <f t="shared" si="13"/>
        <v>0</v>
      </c>
      <c r="AB11" s="1">
        <f t="shared" si="14"/>
        <v>2</v>
      </c>
      <c r="AC11" s="1">
        <f t="shared" si="15"/>
        <v>6</v>
      </c>
      <c r="AD11" s="1">
        <f t="shared" si="16"/>
        <v>3.333333333333333</v>
      </c>
      <c r="AE11" s="1">
        <f t="shared" si="17"/>
        <v>0</v>
      </c>
      <c r="AF11" s="1">
        <f t="shared" si="18"/>
        <v>2</v>
      </c>
      <c r="AG11" s="1">
        <f t="shared" si="19"/>
        <v>1.7777777777777777</v>
      </c>
    </row>
    <row r="12" spans="1:35" ht="14.4" x14ac:dyDescent="0.3">
      <c r="A12" s="1" t="s">
        <v>173</v>
      </c>
      <c r="B12" s="22" t="s">
        <v>188</v>
      </c>
      <c r="C12" s="22">
        <v>10</v>
      </c>
      <c r="D12" s="22">
        <v>0</v>
      </c>
      <c r="E12" s="22">
        <v>0</v>
      </c>
      <c r="F12" s="22">
        <v>1</v>
      </c>
      <c r="G12" s="3" t="s">
        <v>48</v>
      </c>
      <c r="H12" s="3" t="s">
        <v>178</v>
      </c>
      <c r="I12" s="1">
        <v>1</v>
      </c>
      <c r="J12" s="1">
        <v>1</v>
      </c>
      <c r="K12" s="1">
        <v>0</v>
      </c>
      <c r="L12" s="1">
        <v>0</v>
      </c>
      <c r="M12" s="1">
        <v>0</v>
      </c>
      <c r="N12" s="1">
        <v>0</v>
      </c>
      <c r="O12" s="1">
        <v>0</v>
      </c>
      <c r="P12" s="1">
        <v>0</v>
      </c>
      <c r="Q12" s="1">
        <v>1</v>
      </c>
      <c r="R12" s="1">
        <v>0</v>
      </c>
      <c r="S12" s="1">
        <v>0</v>
      </c>
      <c r="T12" s="1">
        <v>0</v>
      </c>
      <c r="U12" s="1">
        <v>0</v>
      </c>
      <c r="V12" s="1">
        <v>0</v>
      </c>
      <c r="W12" s="1">
        <v>0</v>
      </c>
      <c r="X12" s="1">
        <v>1</v>
      </c>
      <c r="Y12" s="2">
        <v>1</v>
      </c>
      <c r="Z12" s="1">
        <f t="shared" si="12"/>
        <v>1</v>
      </c>
      <c r="AA12" s="1">
        <f t="shared" si="13"/>
        <v>1</v>
      </c>
      <c r="AB12" s="1">
        <f t="shared" si="14"/>
        <v>2</v>
      </c>
      <c r="AC12" s="1">
        <f t="shared" si="15"/>
        <v>4</v>
      </c>
      <c r="AD12" s="1">
        <f t="shared" si="16"/>
        <v>0.83333333333333326</v>
      </c>
      <c r="AE12" s="1">
        <f t="shared" si="17"/>
        <v>1</v>
      </c>
      <c r="AF12" s="1">
        <f t="shared" si="18"/>
        <v>2</v>
      </c>
      <c r="AG12" s="1">
        <f t="shared" si="19"/>
        <v>1.2777777777777777</v>
      </c>
    </row>
    <row r="13" spans="1:35" ht="14.4" x14ac:dyDescent="0.3">
      <c r="A13" s="1" t="s">
        <v>173</v>
      </c>
      <c r="B13" s="22" t="s">
        <v>189</v>
      </c>
      <c r="C13" s="22">
        <v>11</v>
      </c>
      <c r="D13" s="22">
        <v>0</v>
      </c>
      <c r="E13" s="22">
        <v>1</v>
      </c>
      <c r="F13" s="22">
        <v>1</v>
      </c>
      <c r="G13" s="3" t="s">
        <v>43</v>
      </c>
      <c r="H13" s="3" t="s">
        <v>178</v>
      </c>
      <c r="I13" s="1">
        <v>1</v>
      </c>
      <c r="J13" s="1">
        <v>1</v>
      </c>
      <c r="K13" s="1">
        <v>0</v>
      </c>
      <c r="L13" s="1">
        <v>0</v>
      </c>
      <c r="M13" s="1">
        <v>0</v>
      </c>
      <c r="N13" s="1">
        <v>0</v>
      </c>
      <c r="O13" s="1">
        <v>0</v>
      </c>
      <c r="P13" s="1">
        <v>0</v>
      </c>
      <c r="Q13" s="1">
        <v>1</v>
      </c>
      <c r="R13" s="1">
        <v>0</v>
      </c>
      <c r="S13" s="1">
        <v>0</v>
      </c>
      <c r="T13" s="1">
        <v>0</v>
      </c>
      <c r="U13" s="1">
        <v>0</v>
      </c>
      <c r="V13" s="1">
        <v>0</v>
      </c>
      <c r="W13" s="1">
        <v>0</v>
      </c>
      <c r="X13" s="1">
        <v>1</v>
      </c>
      <c r="Y13" s="2">
        <v>1</v>
      </c>
      <c r="Z13" s="1">
        <f t="shared" si="12"/>
        <v>1</v>
      </c>
      <c r="AA13" s="1">
        <f t="shared" si="13"/>
        <v>1</v>
      </c>
      <c r="AB13" s="1">
        <f t="shared" si="14"/>
        <v>2</v>
      </c>
      <c r="AC13" s="1">
        <f t="shared" si="15"/>
        <v>4</v>
      </c>
      <c r="AD13" s="1">
        <f t="shared" si="16"/>
        <v>0.83333333333333326</v>
      </c>
      <c r="AE13" s="1">
        <f t="shared" si="17"/>
        <v>1</v>
      </c>
      <c r="AF13" s="1">
        <f t="shared" si="18"/>
        <v>2</v>
      </c>
      <c r="AG13" s="1">
        <f t="shared" si="19"/>
        <v>1.2777777777777777</v>
      </c>
    </row>
    <row r="14" spans="1:35" s="46" customFormat="1" ht="14.4" x14ac:dyDescent="0.3">
      <c r="A14" s="46" t="s">
        <v>173</v>
      </c>
      <c r="B14" s="40" t="s">
        <v>190</v>
      </c>
      <c r="C14" s="40">
        <v>12</v>
      </c>
      <c r="D14" s="40">
        <v>0</v>
      </c>
      <c r="E14" s="40">
        <v>0</v>
      </c>
      <c r="F14" s="40">
        <v>0</v>
      </c>
      <c r="G14" s="47"/>
      <c r="H14" s="47"/>
      <c r="Y14" s="48"/>
      <c r="Z14" s="46">
        <f t="shared" si="12"/>
        <v>0</v>
      </c>
      <c r="AA14" s="46">
        <f t="shared" si="13"/>
        <v>0</v>
      </c>
      <c r="AB14" s="46">
        <f t="shared" si="14"/>
        <v>0</v>
      </c>
      <c r="AC14" s="46">
        <f t="shared" si="15"/>
        <v>0</v>
      </c>
      <c r="AD14" s="46">
        <f t="shared" si="16"/>
        <v>0</v>
      </c>
      <c r="AE14" s="46">
        <f t="shared" si="17"/>
        <v>0</v>
      </c>
      <c r="AF14" s="46">
        <f t="shared" si="18"/>
        <v>0</v>
      </c>
      <c r="AG14" s="46">
        <f t="shared" si="19"/>
        <v>0</v>
      </c>
    </row>
    <row r="15" spans="1:35" ht="14.4" x14ac:dyDescent="0.3">
      <c r="A15" s="1" t="s">
        <v>173</v>
      </c>
      <c r="B15" s="22" t="s">
        <v>191</v>
      </c>
      <c r="C15" s="22">
        <v>13</v>
      </c>
      <c r="D15" s="22">
        <v>0</v>
      </c>
      <c r="E15" s="22">
        <v>0</v>
      </c>
      <c r="F15" s="22">
        <v>2</v>
      </c>
      <c r="G15" s="3" t="s">
        <v>50</v>
      </c>
      <c r="H15" s="3" t="s">
        <v>126</v>
      </c>
      <c r="I15" s="1">
        <v>1</v>
      </c>
      <c r="J15" s="1">
        <v>1</v>
      </c>
      <c r="K15" s="1">
        <v>1</v>
      </c>
      <c r="L15" s="1">
        <v>1</v>
      </c>
      <c r="M15" s="1">
        <v>0</v>
      </c>
      <c r="N15" s="1">
        <v>1</v>
      </c>
      <c r="O15" s="1">
        <v>0</v>
      </c>
      <c r="P15" s="1">
        <v>0</v>
      </c>
      <c r="Q15" s="1">
        <v>0</v>
      </c>
      <c r="R15" s="1">
        <v>0</v>
      </c>
      <c r="S15" s="1">
        <v>0</v>
      </c>
      <c r="T15" s="1">
        <v>0</v>
      </c>
      <c r="U15" s="1">
        <v>0</v>
      </c>
      <c r="V15" s="1">
        <v>0</v>
      </c>
      <c r="W15" s="1">
        <v>0</v>
      </c>
      <c r="X15" s="1">
        <v>1</v>
      </c>
      <c r="Y15" s="2">
        <v>1</v>
      </c>
      <c r="Z15" s="1">
        <f t="shared" si="12"/>
        <v>4</v>
      </c>
      <c r="AA15" s="1">
        <f t="shared" si="13"/>
        <v>0</v>
      </c>
      <c r="AB15" s="1">
        <f t="shared" si="14"/>
        <v>2</v>
      </c>
      <c r="AC15" s="1">
        <f t="shared" si="15"/>
        <v>6</v>
      </c>
      <c r="AD15" s="1">
        <f t="shared" si="16"/>
        <v>3.333333333333333</v>
      </c>
      <c r="AE15" s="1">
        <f t="shared" si="17"/>
        <v>0</v>
      </c>
      <c r="AF15" s="1">
        <f t="shared" si="18"/>
        <v>2</v>
      </c>
      <c r="AG15" s="1">
        <f t="shared" si="19"/>
        <v>1.7777777777777777</v>
      </c>
    </row>
    <row r="16" spans="1:35" s="46" customFormat="1" ht="14.4" x14ac:dyDescent="0.3">
      <c r="A16" s="46" t="s">
        <v>173</v>
      </c>
      <c r="B16" s="40" t="s">
        <v>192</v>
      </c>
      <c r="C16" s="40">
        <v>14</v>
      </c>
      <c r="D16" s="40">
        <v>0</v>
      </c>
      <c r="E16" s="40">
        <v>1</v>
      </c>
      <c r="F16" s="40">
        <v>0</v>
      </c>
      <c r="G16" s="47"/>
      <c r="H16" s="47"/>
      <c r="Y16" s="48"/>
      <c r="Z16" s="46">
        <f t="shared" si="12"/>
        <v>0</v>
      </c>
      <c r="AA16" s="46">
        <f t="shared" si="13"/>
        <v>0</v>
      </c>
      <c r="AB16" s="46">
        <f t="shared" si="14"/>
        <v>0</v>
      </c>
      <c r="AC16" s="46">
        <f t="shared" si="15"/>
        <v>0</v>
      </c>
      <c r="AD16" s="46">
        <f t="shared" si="16"/>
        <v>0</v>
      </c>
      <c r="AE16" s="46">
        <f t="shared" si="17"/>
        <v>0</v>
      </c>
      <c r="AF16" s="46">
        <f t="shared" si="18"/>
        <v>0</v>
      </c>
      <c r="AG16" s="46">
        <f t="shared" si="19"/>
        <v>0</v>
      </c>
    </row>
    <row r="17" spans="1:34" ht="14.4" x14ac:dyDescent="0.3">
      <c r="A17" s="1" t="s">
        <v>173</v>
      </c>
      <c r="B17" s="22" t="s">
        <v>193</v>
      </c>
      <c r="C17" s="22">
        <v>15</v>
      </c>
      <c r="D17" s="22">
        <v>1</v>
      </c>
      <c r="E17" s="22">
        <v>0</v>
      </c>
      <c r="F17" s="22">
        <v>2</v>
      </c>
      <c r="G17" s="3" t="s">
        <v>50</v>
      </c>
      <c r="H17" s="3" t="s">
        <v>126</v>
      </c>
      <c r="I17" s="1">
        <v>3</v>
      </c>
      <c r="J17" s="1">
        <v>1</v>
      </c>
      <c r="K17" s="1">
        <v>1</v>
      </c>
      <c r="L17" s="1">
        <v>1</v>
      </c>
      <c r="M17" s="1">
        <v>1</v>
      </c>
      <c r="N17" s="2">
        <v>1</v>
      </c>
      <c r="O17" s="1">
        <v>1</v>
      </c>
      <c r="P17" s="1">
        <v>0</v>
      </c>
      <c r="Q17" s="2">
        <v>0</v>
      </c>
      <c r="R17" s="2">
        <v>1</v>
      </c>
      <c r="S17" s="1">
        <v>0</v>
      </c>
      <c r="T17" s="1">
        <v>0</v>
      </c>
      <c r="U17" s="2">
        <v>1</v>
      </c>
      <c r="V17" s="1">
        <v>1</v>
      </c>
      <c r="W17" s="2">
        <v>0</v>
      </c>
      <c r="X17" s="2">
        <v>1</v>
      </c>
      <c r="Y17" s="2">
        <v>1</v>
      </c>
      <c r="Z17" s="1">
        <f t="shared" si="12"/>
        <v>6</v>
      </c>
      <c r="AA17" s="1">
        <f t="shared" si="13"/>
        <v>1</v>
      </c>
      <c r="AB17" s="1">
        <f t="shared" si="14"/>
        <v>4</v>
      </c>
      <c r="AC17" s="1">
        <f t="shared" si="15"/>
        <v>11</v>
      </c>
      <c r="AD17" s="1">
        <f t="shared" si="16"/>
        <v>5</v>
      </c>
      <c r="AE17" s="1">
        <f t="shared" si="17"/>
        <v>1</v>
      </c>
      <c r="AF17" s="1">
        <f t="shared" si="18"/>
        <v>4</v>
      </c>
      <c r="AG17" s="1">
        <f t="shared" si="19"/>
        <v>3.3333333333333335</v>
      </c>
    </row>
    <row r="18" spans="1:34" ht="14.4" x14ac:dyDescent="0.3">
      <c r="A18" s="1" t="s">
        <v>173</v>
      </c>
      <c r="B18" s="22" t="s">
        <v>194</v>
      </c>
      <c r="C18" s="22">
        <v>16</v>
      </c>
      <c r="D18" s="22">
        <v>0</v>
      </c>
      <c r="E18" s="22">
        <v>0</v>
      </c>
      <c r="F18" s="22">
        <v>1</v>
      </c>
      <c r="G18" s="3" t="s">
        <v>48</v>
      </c>
      <c r="H18" s="3" t="s">
        <v>187</v>
      </c>
      <c r="I18" s="1">
        <v>1</v>
      </c>
      <c r="J18" s="1">
        <v>1</v>
      </c>
      <c r="K18" s="1">
        <v>0</v>
      </c>
      <c r="L18" s="1">
        <v>0</v>
      </c>
      <c r="M18" s="1">
        <v>0</v>
      </c>
      <c r="N18" s="1">
        <v>0</v>
      </c>
      <c r="O18" s="1">
        <v>0</v>
      </c>
      <c r="P18" s="1">
        <v>0</v>
      </c>
      <c r="Q18" s="1">
        <v>1</v>
      </c>
      <c r="R18" s="1">
        <v>0</v>
      </c>
      <c r="S18" s="1">
        <v>0</v>
      </c>
      <c r="T18" s="1">
        <v>0</v>
      </c>
      <c r="U18" s="1">
        <v>0</v>
      </c>
      <c r="V18" s="1">
        <v>0</v>
      </c>
      <c r="W18" s="1">
        <v>0</v>
      </c>
      <c r="X18" s="1">
        <v>1</v>
      </c>
      <c r="Y18" s="2">
        <v>1</v>
      </c>
      <c r="Z18" s="1">
        <f t="shared" si="12"/>
        <v>1</v>
      </c>
      <c r="AA18" s="1">
        <f t="shared" si="13"/>
        <v>1</v>
      </c>
      <c r="AB18" s="1">
        <f t="shared" si="14"/>
        <v>2</v>
      </c>
      <c r="AC18" s="1">
        <f t="shared" si="15"/>
        <v>4</v>
      </c>
      <c r="AD18" s="1">
        <f t="shared" si="16"/>
        <v>0.83333333333333326</v>
      </c>
      <c r="AE18" s="1">
        <f t="shared" si="17"/>
        <v>1</v>
      </c>
      <c r="AF18" s="1">
        <f t="shared" si="18"/>
        <v>2</v>
      </c>
      <c r="AG18" s="1">
        <f t="shared" si="19"/>
        <v>1.2777777777777777</v>
      </c>
    </row>
    <row r="19" spans="1:34" ht="14.4" x14ac:dyDescent="0.3">
      <c r="A19" s="1" t="s">
        <v>173</v>
      </c>
      <c r="B19" s="22" t="s">
        <v>195</v>
      </c>
      <c r="C19" s="22">
        <v>17</v>
      </c>
      <c r="D19" s="22">
        <v>1</v>
      </c>
      <c r="E19" s="22">
        <v>0</v>
      </c>
      <c r="F19" s="22">
        <v>2</v>
      </c>
      <c r="G19" s="3" t="s">
        <v>50</v>
      </c>
      <c r="H19" s="3" t="s">
        <v>178</v>
      </c>
      <c r="I19" s="1">
        <v>1</v>
      </c>
      <c r="J19" s="1">
        <v>1</v>
      </c>
      <c r="K19" s="1">
        <v>1</v>
      </c>
      <c r="L19" s="1">
        <v>0</v>
      </c>
      <c r="M19" s="1">
        <v>0</v>
      </c>
      <c r="N19" s="1">
        <v>1</v>
      </c>
      <c r="O19" s="1">
        <v>1</v>
      </c>
      <c r="P19" s="1">
        <v>0</v>
      </c>
      <c r="Q19" s="1">
        <v>0</v>
      </c>
      <c r="R19" s="1">
        <v>0</v>
      </c>
      <c r="S19" s="1">
        <v>0</v>
      </c>
      <c r="T19" s="1">
        <v>0</v>
      </c>
      <c r="U19" s="1">
        <v>1</v>
      </c>
      <c r="V19" s="1">
        <v>1</v>
      </c>
      <c r="W19" s="1">
        <v>1</v>
      </c>
      <c r="X19" s="1">
        <v>1</v>
      </c>
      <c r="Y19" s="2">
        <v>1</v>
      </c>
      <c r="Z19" s="1">
        <f t="shared" si="12"/>
        <v>4</v>
      </c>
      <c r="AA19" s="1">
        <f t="shared" si="13"/>
        <v>0</v>
      </c>
      <c r="AB19" s="1">
        <f t="shared" si="14"/>
        <v>5</v>
      </c>
      <c r="AC19" s="1">
        <f t="shared" si="15"/>
        <v>9</v>
      </c>
      <c r="AD19" s="1">
        <f t="shared" si="16"/>
        <v>3.333333333333333</v>
      </c>
      <c r="AE19" s="1">
        <f t="shared" si="17"/>
        <v>0</v>
      </c>
      <c r="AF19" s="1">
        <f t="shared" si="18"/>
        <v>5</v>
      </c>
      <c r="AG19" s="1">
        <f t="shared" si="19"/>
        <v>2.7777777777777772</v>
      </c>
      <c r="AH19" s="1" t="s">
        <v>196</v>
      </c>
    </row>
    <row r="20" spans="1:34" ht="14.4" x14ac:dyDescent="0.3">
      <c r="A20" s="1" t="s">
        <v>173</v>
      </c>
      <c r="B20" s="22" t="s">
        <v>197</v>
      </c>
      <c r="C20" s="22">
        <v>18</v>
      </c>
      <c r="D20" s="22">
        <v>1</v>
      </c>
      <c r="E20" s="22">
        <v>0</v>
      </c>
      <c r="F20" s="22">
        <v>2</v>
      </c>
      <c r="G20" s="3" t="s">
        <v>50</v>
      </c>
      <c r="H20" s="3" t="s">
        <v>198</v>
      </c>
      <c r="I20" s="1">
        <v>2</v>
      </c>
      <c r="J20" s="1">
        <v>1</v>
      </c>
      <c r="K20" s="1">
        <v>1</v>
      </c>
      <c r="L20" s="1">
        <v>1</v>
      </c>
      <c r="M20" s="1">
        <v>0</v>
      </c>
      <c r="N20" s="1">
        <v>1</v>
      </c>
      <c r="O20" s="1">
        <v>1</v>
      </c>
      <c r="P20" s="1">
        <v>0</v>
      </c>
      <c r="Q20" s="1">
        <v>1</v>
      </c>
      <c r="R20" s="1">
        <v>1</v>
      </c>
      <c r="S20" s="1">
        <v>0</v>
      </c>
      <c r="T20" s="1">
        <v>0</v>
      </c>
      <c r="U20" s="1">
        <v>0</v>
      </c>
      <c r="V20" s="1">
        <v>1</v>
      </c>
      <c r="W20" s="1">
        <v>0</v>
      </c>
      <c r="X20" s="1">
        <v>1</v>
      </c>
      <c r="Y20" s="2">
        <v>1</v>
      </c>
      <c r="Z20" s="1">
        <f t="shared" ref="Z20:Z22" si="20">SUM(J20:O20)</f>
        <v>5</v>
      </c>
      <c r="AA20" s="1">
        <f t="shared" ref="AA20" si="21">SUM(P20:T20)</f>
        <v>2</v>
      </c>
      <c r="AB20" s="1">
        <f t="shared" ref="AB20:AB34" si="22">SUM(U20:Y20)</f>
        <v>3</v>
      </c>
      <c r="AC20" s="1">
        <f t="shared" ref="AC20:AC34" si="23">SUM(Z20:AB20)</f>
        <v>10</v>
      </c>
      <c r="AD20" s="1">
        <f t="shared" si="4"/>
        <v>4.166666666666667</v>
      </c>
      <c r="AE20" s="1">
        <f t="shared" si="5"/>
        <v>2</v>
      </c>
      <c r="AF20" s="1">
        <f t="shared" si="6"/>
        <v>3</v>
      </c>
      <c r="AG20" s="1">
        <f t="shared" si="7"/>
        <v>3.0555555555555558</v>
      </c>
    </row>
    <row r="21" spans="1:34" ht="14.4" x14ac:dyDescent="0.3">
      <c r="A21" s="1" t="s">
        <v>173</v>
      </c>
      <c r="B21" s="22" t="s">
        <v>199</v>
      </c>
      <c r="C21" s="22">
        <v>19</v>
      </c>
      <c r="D21" s="22">
        <v>0</v>
      </c>
      <c r="E21" s="22">
        <v>1</v>
      </c>
      <c r="F21" s="22">
        <v>1</v>
      </c>
      <c r="G21" s="3" t="s">
        <v>43</v>
      </c>
      <c r="H21" s="3" t="s">
        <v>200</v>
      </c>
      <c r="I21" s="1">
        <v>1</v>
      </c>
      <c r="J21" s="1">
        <v>1</v>
      </c>
      <c r="K21" s="1">
        <v>0</v>
      </c>
      <c r="L21" s="1">
        <v>0</v>
      </c>
      <c r="M21" s="1">
        <v>0</v>
      </c>
      <c r="N21" s="1">
        <v>0</v>
      </c>
      <c r="O21" s="1">
        <v>0</v>
      </c>
      <c r="P21" s="1">
        <v>0</v>
      </c>
      <c r="Q21" s="1">
        <v>1</v>
      </c>
      <c r="R21" s="1">
        <v>0</v>
      </c>
      <c r="S21" s="1">
        <v>0</v>
      </c>
      <c r="T21" s="1">
        <v>0</v>
      </c>
      <c r="U21" s="1">
        <v>0</v>
      </c>
      <c r="V21" s="1">
        <v>0</v>
      </c>
      <c r="W21" s="1">
        <v>0</v>
      </c>
      <c r="X21" s="1">
        <v>1</v>
      </c>
      <c r="Y21" s="2">
        <v>1</v>
      </c>
      <c r="Z21" s="1">
        <f t="shared" si="20"/>
        <v>1</v>
      </c>
      <c r="AA21" s="1">
        <f>SUM(P21:T21)</f>
        <v>1</v>
      </c>
      <c r="AB21" s="1">
        <f t="shared" si="22"/>
        <v>2</v>
      </c>
      <c r="AC21" s="1">
        <f t="shared" si="23"/>
        <v>4</v>
      </c>
      <c r="AD21" s="1">
        <f t="shared" si="4"/>
        <v>0.83333333333333326</v>
      </c>
      <c r="AE21" s="1">
        <f t="shared" si="5"/>
        <v>1</v>
      </c>
      <c r="AF21" s="1">
        <f t="shared" si="6"/>
        <v>2</v>
      </c>
      <c r="AG21" s="1">
        <f t="shared" si="7"/>
        <v>1.2777777777777777</v>
      </c>
    </row>
    <row r="22" spans="1:34" ht="14.4" x14ac:dyDescent="0.3">
      <c r="A22" s="1" t="s">
        <v>173</v>
      </c>
      <c r="B22" s="22" t="s">
        <v>201</v>
      </c>
      <c r="C22" s="22">
        <v>20</v>
      </c>
      <c r="D22" s="22">
        <v>0</v>
      </c>
      <c r="E22" s="22">
        <v>0</v>
      </c>
      <c r="F22" s="22">
        <v>1</v>
      </c>
      <c r="G22" s="3" t="s">
        <v>43</v>
      </c>
      <c r="H22" s="3" t="s">
        <v>187</v>
      </c>
      <c r="I22" s="1">
        <v>1</v>
      </c>
      <c r="J22" s="1">
        <v>1</v>
      </c>
      <c r="K22" s="1">
        <v>0</v>
      </c>
      <c r="L22" s="1">
        <v>0</v>
      </c>
      <c r="M22" s="1">
        <v>0</v>
      </c>
      <c r="N22" s="1">
        <v>0</v>
      </c>
      <c r="O22" s="1">
        <v>0</v>
      </c>
      <c r="P22" s="1">
        <v>0</v>
      </c>
      <c r="Q22" s="1">
        <v>1</v>
      </c>
      <c r="R22" s="1">
        <v>0</v>
      </c>
      <c r="S22" s="1">
        <v>0</v>
      </c>
      <c r="T22" s="1">
        <v>0</v>
      </c>
      <c r="U22" s="1">
        <v>0</v>
      </c>
      <c r="V22" s="1">
        <v>1</v>
      </c>
      <c r="W22" s="1">
        <v>0</v>
      </c>
      <c r="X22" s="1">
        <v>1</v>
      </c>
      <c r="Y22" s="2">
        <v>1</v>
      </c>
      <c r="Z22" s="1">
        <f t="shared" si="20"/>
        <v>1</v>
      </c>
      <c r="AA22" s="1">
        <f>SUM(P22:T22)</f>
        <v>1</v>
      </c>
      <c r="AB22" s="1">
        <f t="shared" si="22"/>
        <v>3</v>
      </c>
      <c r="AC22" s="1">
        <f t="shared" si="23"/>
        <v>5</v>
      </c>
      <c r="AD22" s="1">
        <f t="shared" si="4"/>
        <v>0.83333333333333326</v>
      </c>
      <c r="AE22" s="1">
        <f t="shared" si="5"/>
        <v>1</v>
      </c>
      <c r="AF22" s="1">
        <f t="shared" si="6"/>
        <v>3</v>
      </c>
      <c r="AG22" s="1">
        <f t="shared" si="7"/>
        <v>1.6111111111111109</v>
      </c>
    </row>
    <row r="23" spans="1:34" ht="14.4" x14ac:dyDescent="0.3">
      <c r="A23" s="1" t="s">
        <v>173</v>
      </c>
      <c r="B23" s="22" t="s">
        <v>202</v>
      </c>
      <c r="C23" s="22">
        <v>21</v>
      </c>
      <c r="D23" s="22">
        <v>1</v>
      </c>
      <c r="E23" s="22">
        <v>0</v>
      </c>
      <c r="F23" s="22">
        <v>2</v>
      </c>
      <c r="G23" s="3" t="s">
        <v>48</v>
      </c>
      <c r="H23" s="3" t="s">
        <v>187</v>
      </c>
      <c r="I23" s="1">
        <v>3</v>
      </c>
      <c r="J23" s="1">
        <v>1</v>
      </c>
      <c r="K23" s="1">
        <v>1</v>
      </c>
      <c r="L23" s="1">
        <v>1</v>
      </c>
      <c r="M23" s="1">
        <v>1</v>
      </c>
      <c r="N23" s="1">
        <v>1</v>
      </c>
      <c r="O23" s="1">
        <v>1</v>
      </c>
      <c r="P23" s="1">
        <v>0</v>
      </c>
      <c r="Q23" s="1">
        <v>0</v>
      </c>
      <c r="R23" s="1">
        <v>1</v>
      </c>
      <c r="S23" s="1">
        <v>0</v>
      </c>
      <c r="T23" s="1">
        <v>0</v>
      </c>
      <c r="U23" s="1">
        <v>0</v>
      </c>
      <c r="V23" s="1">
        <v>0</v>
      </c>
      <c r="W23" s="1">
        <v>1</v>
      </c>
      <c r="X23" s="1">
        <v>0</v>
      </c>
      <c r="Y23" s="2">
        <v>1</v>
      </c>
      <c r="Z23" s="1">
        <f t="shared" ref="Z23:Z34" si="24">SUM(J23:O23)</f>
        <v>6</v>
      </c>
      <c r="AA23" s="1">
        <f t="shared" ref="AA23:AA34" si="25">SUM(P23:T23)</f>
        <v>1</v>
      </c>
      <c r="AB23" s="1">
        <f t="shared" si="22"/>
        <v>2</v>
      </c>
      <c r="AC23" s="1">
        <f t="shared" si="23"/>
        <v>9</v>
      </c>
      <c r="AD23" s="1">
        <f t="shared" si="4"/>
        <v>5</v>
      </c>
      <c r="AE23" s="1">
        <f t="shared" si="5"/>
        <v>1</v>
      </c>
      <c r="AF23" s="1">
        <f t="shared" si="6"/>
        <v>2</v>
      </c>
      <c r="AG23" s="1">
        <f t="shared" si="7"/>
        <v>2.6666666666666665</v>
      </c>
    </row>
    <row r="24" spans="1:34" ht="14.4" x14ac:dyDescent="0.3">
      <c r="A24" s="1" t="s">
        <v>173</v>
      </c>
      <c r="B24" s="22" t="s">
        <v>203</v>
      </c>
      <c r="C24" s="22">
        <v>22</v>
      </c>
      <c r="D24" s="22">
        <v>0</v>
      </c>
      <c r="E24" s="22">
        <v>0</v>
      </c>
      <c r="F24" s="22">
        <v>1</v>
      </c>
      <c r="G24" s="3" t="s">
        <v>43</v>
      </c>
      <c r="H24" s="3" t="s">
        <v>187</v>
      </c>
      <c r="I24" s="1">
        <v>1</v>
      </c>
      <c r="J24" s="1">
        <v>1</v>
      </c>
      <c r="K24" s="1">
        <v>0</v>
      </c>
      <c r="L24" s="1">
        <v>0</v>
      </c>
      <c r="M24" s="1">
        <v>0</v>
      </c>
      <c r="N24" s="1">
        <v>0</v>
      </c>
      <c r="O24" s="1">
        <v>0</v>
      </c>
      <c r="P24" s="1">
        <v>0</v>
      </c>
      <c r="Q24" s="1">
        <v>1</v>
      </c>
      <c r="R24" s="1">
        <v>0</v>
      </c>
      <c r="S24" s="1">
        <v>0</v>
      </c>
      <c r="T24" s="1">
        <v>0</v>
      </c>
      <c r="U24" s="1">
        <v>0</v>
      </c>
      <c r="V24" s="1">
        <v>0</v>
      </c>
      <c r="W24" s="1">
        <v>0</v>
      </c>
      <c r="X24" s="1">
        <v>1</v>
      </c>
      <c r="Y24" s="2">
        <v>1</v>
      </c>
      <c r="Z24" s="1">
        <f t="shared" si="24"/>
        <v>1</v>
      </c>
      <c r="AA24" s="1">
        <f t="shared" si="25"/>
        <v>1</v>
      </c>
      <c r="AB24" s="1">
        <f t="shared" si="22"/>
        <v>2</v>
      </c>
      <c r="AC24" s="1">
        <f t="shared" si="23"/>
        <v>4</v>
      </c>
      <c r="AD24" s="1">
        <f t="shared" si="4"/>
        <v>0.83333333333333326</v>
      </c>
      <c r="AE24" s="1">
        <f t="shared" si="5"/>
        <v>1</v>
      </c>
      <c r="AF24" s="1">
        <f t="shared" si="6"/>
        <v>2</v>
      </c>
      <c r="AG24" s="1">
        <f t="shared" si="7"/>
        <v>1.2777777777777777</v>
      </c>
      <c r="AH24" s="1" t="s">
        <v>204</v>
      </c>
    </row>
    <row r="25" spans="1:34" ht="14.4" x14ac:dyDescent="0.3">
      <c r="A25" s="1" t="s">
        <v>173</v>
      </c>
      <c r="B25" s="22" t="s">
        <v>205</v>
      </c>
      <c r="C25" s="22">
        <v>23</v>
      </c>
      <c r="D25" s="22">
        <v>0</v>
      </c>
      <c r="E25" s="22">
        <v>1</v>
      </c>
      <c r="F25" s="22">
        <v>1</v>
      </c>
      <c r="G25" s="3" t="s">
        <v>206</v>
      </c>
      <c r="H25" s="3" t="s">
        <v>207</v>
      </c>
      <c r="I25" s="1">
        <v>2</v>
      </c>
      <c r="J25" s="1">
        <v>1</v>
      </c>
      <c r="K25" s="1">
        <v>1</v>
      </c>
      <c r="L25" s="1">
        <v>0</v>
      </c>
      <c r="M25" s="1">
        <v>0</v>
      </c>
      <c r="N25" s="1">
        <v>0</v>
      </c>
      <c r="O25" s="1">
        <v>0</v>
      </c>
      <c r="P25" s="1">
        <v>0</v>
      </c>
      <c r="Q25" s="1">
        <v>1</v>
      </c>
      <c r="R25" s="1">
        <v>0</v>
      </c>
      <c r="S25" s="1">
        <v>0</v>
      </c>
      <c r="T25" s="1">
        <v>0</v>
      </c>
      <c r="U25" s="1">
        <v>0</v>
      </c>
      <c r="V25" s="1">
        <v>1</v>
      </c>
      <c r="W25" s="1">
        <v>0</v>
      </c>
      <c r="X25" s="1">
        <v>1</v>
      </c>
      <c r="Y25" s="2">
        <v>1</v>
      </c>
      <c r="Z25" s="1">
        <f t="shared" si="24"/>
        <v>2</v>
      </c>
      <c r="AA25" s="1">
        <f t="shared" si="25"/>
        <v>1</v>
      </c>
      <c r="AB25" s="1">
        <f t="shared" si="22"/>
        <v>3</v>
      </c>
      <c r="AC25" s="1">
        <f t="shared" si="23"/>
        <v>6</v>
      </c>
      <c r="AD25" s="1">
        <f t="shared" si="4"/>
        <v>1.6666666666666665</v>
      </c>
      <c r="AE25" s="1">
        <f t="shared" si="5"/>
        <v>1</v>
      </c>
      <c r="AF25" s="1">
        <f t="shared" si="6"/>
        <v>3</v>
      </c>
      <c r="AG25" s="1">
        <f t="shared" si="7"/>
        <v>1.8888888888888886</v>
      </c>
    </row>
    <row r="26" spans="1:34" ht="14.4" x14ac:dyDescent="0.3">
      <c r="A26" s="1" t="s">
        <v>173</v>
      </c>
      <c r="B26" s="22" t="s">
        <v>208</v>
      </c>
      <c r="C26" s="22">
        <v>24</v>
      </c>
      <c r="D26" s="22">
        <v>0</v>
      </c>
      <c r="E26" s="22">
        <v>0</v>
      </c>
      <c r="F26" s="22">
        <v>1</v>
      </c>
      <c r="G26" s="3" t="s">
        <v>43</v>
      </c>
      <c r="H26" s="3" t="s">
        <v>187</v>
      </c>
      <c r="I26" s="1">
        <v>1</v>
      </c>
      <c r="J26" s="1">
        <v>1</v>
      </c>
      <c r="K26" s="1">
        <v>0</v>
      </c>
      <c r="L26" s="1">
        <v>0</v>
      </c>
      <c r="M26" s="1">
        <v>1</v>
      </c>
      <c r="N26" s="1">
        <v>0</v>
      </c>
      <c r="O26" s="1">
        <v>0</v>
      </c>
      <c r="P26" s="1">
        <v>0</v>
      </c>
      <c r="Q26" s="1">
        <v>1</v>
      </c>
      <c r="R26" s="1">
        <v>0</v>
      </c>
      <c r="S26" s="1">
        <v>0</v>
      </c>
      <c r="T26" s="1">
        <v>0</v>
      </c>
      <c r="U26" s="1">
        <v>0</v>
      </c>
      <c r="V26" s="1">
        <v>1</v>
      </c>
      <c r="W26" s="1">
        <v>0</v>
      </c>
      <c r="X26" s="1">
        <v>1</v>
      </c>
      <c r="Y26" s="2">
        <v>1</v>
      </c>
      <c r="Z26" s="1">
        <f t="shared" si="24"/>
        <v>2</v>
      </c>
      <c r="AA26" s="1">
        <f t="shared" si="25"/>
        <v>1</v>
      </c>
      <c r="AB26" s="1">
        <f t="shared" si="22"/>
        <v>3</v>
      </c>
      <c r="AC26" s="1">
        <f t="shared" si="23"/>
        <v>6</v>
      </c>
      <c r="AD26" s="1">
        <f t="shared" si="4"/>
        <v>1.6666666666666665</v>
      </c>
      <c r="AE26" s="1">
        <f t="shared" si="5"/>
        <v>1</v>
      </c>
      <c r="AF26" s="1">
        <f t="shared" si="6"/>
        <v>3</v>
      </c>
      <c r="AG26" s="1">
        <f t="shared" si="7"/>
        <v>1.8888888888888886</v>
      </c>
    </row>
    <row r="27" spans="1:34" ht="14.4" x14ac:dyDescent="0.3">
      <c r="A27" s="1" t="s">
        <v>173</v>
      </c>
      <c r="B27" s="22" t="s">
        <v>209</v>
      </c>
      <c r="C27" s="22">
        <v>25</v>
      </c>
      <c r="D27" s="22">
        <v>1</v>
      </c>
      <c r="E27" s="22">
        <v>0</v>
      </c>
      <c r="F27" s="22">
        <v>2</v>
      </c>
      <c r="G27" s="3" t="s">
        <v>93</v>
      </c>
      <c r="H27" s="3" t="s">
        <v>126</v>
      </c>
      <c r="I27" s="1">
        <v>3</v>
      </c>
      <c r="J27" s="1">
        <v>1</v>
      </c>
      <c r="K27" s="1">
        <v>1</v>
      </c>
      <c r="L27" s="1">
        <v>1</v>
      </c>
      <c r="M27" s="1">
        <v>0</v>
      </c>
      <c r="N27" s="1">
        <v>1</v>
      </c>
      <c r="O27" s="1">
        <v>1</v>
      </c>
      <c r="P27" s="1">
        <v>0</v>
      </c>
      <c r="Q27" s="1">
        <v>1</v>
      </c>
      <c r="R27" s="1">
        <v>0</v>
      </c>
      <c r="S27" s="1">
        <v>0</v>
      </c>
      <c r="T27" s="1">
        <v>0</v>
      </c>
      <c r="U27" s="1">
        <v>0</v>
      </c>
      <c r="V27" s="1">
        <v>0</v>
      </c>
      <c r="W27" s="1">
        <v>0</v>
      </c>
      <c r="X27" s="1">
        <v>1</v>
      </c>
      <c r="Y27" s="2">
        <v>0</v>
      </c>
      <c r="Z27" s="1">
        <f t="shared" si="24"/>
        <v>5</v>
      </c>
      <c r="AA27" s="1">
        <f t="shared" si="25"/>
        <v>1</v>
      </c>
      <c r="AB27" s="1">
        <f t="shared" si="22"/>
        <v>1</v>
      </c>
      <c r="AC27" s="1">
        <f t="shared" si="23"/>
        <v>7</v>
      </c>
      <c r="AD27" s="1">
        <f t="shared" si="4"/>
        <v>4.166666666666667</v>
      </c>
      <c r="AE27" s="1">
        <f t="shared" si="5"/>
        <v>1</v>
      </c>
      <c r="AF27" s="1">
        <f t="shared" si="6"/>
        <v>1</v>
      </c>
      <c r="AG27" s="1">
        <f t="shared" si="7"/>
        <v>2.0555555555555558</v>
      </c>
      <c r="AH27" s="1" t="s">
        <v>210</v>
      </c>
    </row>
    <row r="28" spans="1:34" ht="14.4" x14ac:dyDescent="0.3">
      <c r="A28" s="1" t="s">
        <v>173</v>
      </c>
      <c r="B28" s="22" t="s">
        <v>211</v>
      </c>
      <c r="C28" s="22">
        <v>26</v>
      </c>
      <c r="D28" s="22">
        <v>1</v>
      </c>
      <c r="E28" s="22">
        <v>0</v>
      </c>
      <c r="F28" s="22">
        <v>2</v>
      </c>
      <c r="G28" s="3" t="s">
        <v>50</v>
      </c>
      <c r="H28" s="3" t="s">
        <v>160</v>
      </c>
      <c r="I28" s="1">
        <v>2</v>
      </c>
      <c r="J28" s="1">
        <v>1</v>
      </c>
      <c r="K28" s="1">
        <v>1</v>
      </c>
      <c r="L28" s="1">
        <v>1</v>
      </c>
      <c r="M28" s="1">
        <v>1</v>
      </c>
      <c r="N28" s="1">
        <v>1</v>
      </c>
      <c r="O28" s="1">
        <v>1</v>
      </c>
      <c r="P28" s="1">
        <v>0</v>
      </c>
      <c r="Q28" s="1">
        <v>0</v>
      </c>
      <c r="R28" s="1">
        <v>1</v>
      </c>
      <c r="S28" s="1">
        <v>0</v>
      </c>
      <c r="T28" s="1">
        <v>0</v>
      </c>
      <c r="U28" s="1">
        <v>0</v>
      </c>
      <c r="V28" s="1">
        <v>0</v>
      </c>
      <c r="W28" s="1">
        <v>0</v>
      </c>
      <c r="X28" s="1">
        <v>0</v>
      </c>
      <c r="Y28" s="2">
        <v>1</v>
      </c>
      <c r="Z28" s="1">
        <f t="shared" si="24"/>
        <v>6</v>
      </c>
      <c r="AA28" s="1">
        <f t="shared" si="25"/>
        <v>1</v>
      </c>
      <c r="AB28" s="1">
        <f t="shared" si="22"/>
        <v>1</v>
      </c>
      <c r="AC28" s="1">
        <f t="shared" si="23"/>
        <v>8</v>
      </c>
      <c r="AD28" s="1">
        <f t="shared" si="4"/>
        <v>5</v>
      </c>
      <c r="AE28" s="1">
        <f t="shared" si="5"/>
        <v>1</v>
      </c>
      <c r="AF28" s="1">
        <f t="shared" si="6"/>
        <v>1</v>
      </c>
      <c r="AG28" s="1">
        <f t="shared" si="7"/>
        <v>2.3333333333333335</v>
      </c>
    </row>
    <row r="29" spans="1:34" ht="14.4" x14ac:dyDescent="0.3">
      <c r="A29" s="1" t="s">
        <v>173</v>
      </c>
      <c r="B29" s="22" t="s">
        <v>212</v>
      </c>
      <c r="C29" s="22">
        <v>27</v>
      </c>
      <c r="D29" s="22">
        <v>1</v>
      </c>
      <c r="E29" s="22">
        <v>1</v>
      </c>
      <c r="F29" s="22">
        <v>2</v>
      </c>
      <c r="G29" s="3" t="s">
        <v>50</v>
      </c>
      <c r="H29" s="3" t="s">
        <v>160</v>
      </c>
      <c r="I29" s="1">
        <v>3</v>
      </c>
      <c r="J29" s="1">
        <v>1</v>
      </c>
      <c r="K29" s="1">
        <v>1</v>
      </c>
      <c r="L29" s="1">
        <v>1</v>
      </c>
      <c r="M29" s="1">
        <v>1</v>
      </c>
      <c r="N29" s="1">
        <v>1</v>
      </c>
      <c r="O29" s="1">
        <v>0</v>
      </c>
      <c r="P29" s="1">
        <v>0</v>
      </c>
      <c r="Q29" s="1">
        <v>0</v>
      </c>
      <c r="R29" s="1">
        <v>1</v>
      </c>
      <c r="S29" s="1">
        <v>0</v>
      </c>
      <c r="T29" s="1">
        <v>0</v>
      </c>
      <c r="U29" s="1">
        <v>1</v>
      </c>
      <c r="V29" s="1">
        <v>1</v>
      </c>
      <c r="W29" s="1">
        <v>0</v>
      </c>
      <c r="X29" s="1">
        <v>0</v>
      </c>
      <c r="Y29" s="2">
        <v>1</v>
      </c>
      <c r="Z29" s="1">
        <f t="shared" si="24"/>
        <v>5</v>
      </c>
      <c r="AA29" s="1">
        <f t="shared" si="25"/>
        <v>1</v>
      </c>
      <c r="AB29" s="1">
        <f t="shared" si="22"/>
        <v>3</v>
      </c>
      <c r="AC29" s="1">
        <f t="shared" si="23"/>
        <v>9</v>
      </c>
      <c r="AD29" s="1">
        <f t="shared" si="4"/>
        <v>4.166666666666667</v>
      </c>
      <c r="AE29" s="1">
        <f t="shared" si="5"/>
        <v>1</v>
      </c>
      <c r="AF29" s="1">
        <f t="shared" si="6"/>
        <v>3</v>
      </c>
      <c r="AG29" s="1">
        <f t="shared" si="7"/>
        <v>2.7222222222222228</v>
      </c>
    </row>
    <row r="30" spans="1:34" s="46" customFormat="1" ht="14.4" x14ac:dyDescent="0.3">
      <c r="A30" s="46" t="s">
        <v>173</v>
      </c>
      <c r="B30" s="40" t="s">
        <v>213</v>
      </c>
      <c r="C30" s="40">
        <v>28</v>
      </c>
      <c r="D30" s="40">
        <v>0</v>
      </c>
      <c r="E30" s="40">
        <v>0</v>
      </c>
      <c r="F30" s="40">
        <v>0</v>
      </c>
      <c r="G30" s="47"/>
      <c r="H30" s="47"/>
      <c r="Y30" s="48"/>
      <c r="Z30" s="46">
        <f t="shared" si="24"/>
        <v>0</v>
      </c>
      <c r="AA30" s="46">
        <f t="shared" si="25"/>
        <v>0</v>
      </c>
      <c r="AB30" s="46">
        <f t="shared" si="22"/>
        <v>0</v>
      </c>
      <c r="AC30" s="46">
        <f t="shared" si="23"/>
        <v>0</v>
      </c>
      <c r="AD30" s="46">
        <f t="shared" si="4"/>
        <v>0</v>
      </c>
      <c r="AE30" s="46">
        <f t="shared" si="5"/>
        <v>0</v>
      </c>
      <c r="AF30" s="46">
        <f t="shared" si="6"/>
        <v>0</v>
      </c>
      <c r="AG30" s="46">
        <f t="shared" si="7"/>
        <v>0</v>
      </c>
      <c r="AH30" s="46" t="s">
        <v>214</v>
      </c>
    </row>
    <row r="31" spans="1:34" ht="14.4" x14ac:dyDescent="0.3">
      <c r="A31" s="1" t="s">
        <v>173</v>
      </c>
      <c r="B31" s="22" t="s">
        <v>215</v>
      </c>
      <c r="C31" s="22">
        <v>29</v>
      </c>
      <c r="D31" s="22">
        <v>0</v>
      </c>
      <c r="E31" s="22">
        <v>0</v>
      </c>
      <c r="F31" s="22">
        <v>1</v>
      </c>
      <c r="G31" s="3" t="s">
        <v>48</v>
      </c>
      <c r="H31" s="3" t="s">
        <v>134</v>
      </c>
      <c r="I31" s="1">
        <v>0</v>
      </c>
      <c r="J31" s="1">
        <v>1</v>
      </c>
      <c r="K31" s="1">
        <v>0</v>
      </c>
      <c r="L31" s="1">
        <v>0</v>
      </c>
      <c r="M31" s="1">
        <v>0</v>
      </c>
      <c r="N31" s="1">
        <v>0</v>
      </c>
      <c r="O31" s="1">
        <v>0</v>
      </c>
      <c r="P31" s="1">
        <v>0</v>
      </c>
      <c r="Q31" s="1">
        <v>1</v>
      </c>
      <c r="R31" s="1">
        <v>0</v>
      </c>
      <c r="S31" s="1">
        <v>0</v>
      </c>
      <c r="T31" s="1">
        <v>0</v>
      </c>
      <c r="U31" s="1">
        <v>0</v>
      </c>
      <c r="V31" s="1">
        <v>0</v>
      </c>
      <c r="W31" s="1">
        <v>0</v>
      </c>
      <c r="X31" s="1">
        <v>1</v>
      </c>
      <c r="Y31" s="2">
        <v>1</v>
      </c>
      <c r="Z31" s="1">
        <f t="shared" si="24"/>
        <v>1</v>
      </c>
      <c r="AA31" s="1">
        <f t="shared" si="25"/>
        <v>1</v>
      </c>
      <c r="AB31" s="1">
        <f t="shared" si="22"/>
        <v>2</v>
      </c>
      <c r="AC31" s="1">
        <f t="shared" si="23"/>
        <v>4</v>
      </c>
      <c r="AD31" s="1">
        <f t="shared" si="4"/>
        <v>0.83333333333333326</v>
      </c>
      <c r="AE31" s="1">
        <f t="shared" si="5"/>
        <v>1</v>
      </c>
      <c r="AF31" s="1">
        <f t="shared" si="6"/>
        <v>2</v>
      </c>
      <c r="AG31" s="1">
        <f t="shared" si="7"/>
        <v>1.2777777777777777</v>
      </c>
      <c r="AH31" s="1" t="s">
        <v>216</v>
      </c>
    </row>
    <row r="32" spans="1:34" s="46" customFormat="1" ht="14.4" x14ac:dyDescent="0.3">
      <c r="A32" s="46" t="s">
        <v>173</v>
      </c>
      <c r="B32" s="40" t="s">
        <v>217</v>
      </c>
      <c r="C32" s="40">
        <v>30</v>
      </c>
      <c r="D32" s="40">
        <v>0</v>
      </c>
      <c r="E32" s="40">
        <v>0</v>
      </c>
      <c r="F32" s="40">
        <v>0</v>
      </c>
      <c r="G32" s="47"/>
      <c r="H32" s="47"/>
      <c r="Y32" s="48"/>
      <c r="Z32" s="46">
        <f t="shared" si="24"/>
        <v>0</v>
      </c>
      <c r="AA32" s="46">
        <f t="shared" si="25"/>
        <v>0</v>
      </c>
      <c r="AB32" s="46">
        <f t="shared" si="22"/>
        <v>0</v>
      </c>
      <c r="AC32" s="46">
        <f t="shared" si="23"/>
        <v>0</v>
      </c>
      <c r="AD32" s="46">
        <f t="shared" si="4"/>
        <v>0</v>
      </c>
      <c r="AE32" s="46">
        <f t="shared" si="5"/>
        <v>0</v>
      </c>
      <c r="AF32" s="46">
        <f t="shared" si="6"/>
        <v>0</v>
      </c>
      <c r="AG32" s="46">
        <f t="shared" si="7"/>
        <v>0</v>
      </c>
    </row>
    <row r="33" spans="1:33" s="46" customFormat="1" ht="14.4" x14ac:dyDescent="0.3">
      <c r="A33" s="46" t="s">
        <v>173</v>
      </c>
      <c r="B33" s="40" t="s">
        <v>218</v>
      </c>
      <c r="C33" s="40">
        <v>31</v>
      </c>
      <c r="D33" s="40">
        <v>0</v>
      </c>
      <c r="E33" s="40">
        <v>0</v>
      </c>
      <c r="F33" s="40">
        <v>0</v>
      </c>
      <c r="G33" s="47"/>
      <c r="H33" s="47"/>
      <c r="Y33" s="48"/>
      <c r="Z33" s="46">
        <f t="shared" si="24"/>
        <v>0</v>
      </c>
      <c r="AA33" s="46">
        <f t="shared" si="25"/>
        <v>0</v>
      </c>
      <c r="AB33" s="46">
        <f t="shared" si="22"/>
        <v>0</v>
      </c>
      <c r="AC33" s="46">
        <f t="shared" si="23"/>
        <v>0</v>
      </c>
      <c r="AD33" s="46">
        <f t="shared" si="4"/>
        <v>0</v>
      </c>
      <c r="AE33" s="46">
        <f t="shared" si="5"/>
        <v>0</v>
      </c>
      <c r="AF33" s="46">
        <f t="shared" si="6"/>
        <v>0</v>
      </c>
      <c r="AG33" s="46">
        <f t="shared" si="7"/>
        <v>0</v>
      </c>
    </row>
    <row r="34" spans="1:33" ht="14.4" x14ac:dyDescent="0.3">
      <c r="A34" s="1" t="s">
        <v>173</v>
      </c>
      <c r="B34" s="22" t="s">
        <v>219</v>
      </c>
      <c r="C34" s="22">
        <v>32</v>
      </c>
      <c r="D34" s="22">
        <v>0</v>
      </c>
      <c r="E34" s="22">
        <v>0</v>
      </c>
      <c r="F34" s="22">
        <v>2</v>
      </c>
      <c r="G34" s="3" t="s">
        <v>220</v>
      </c>
      <c r="H34" s="3" t="s">
        <v>148</v>
      </c>
      <c r="I34" s="1">
        <v>1</v>
      </c>
      <c r="J34" s="1">
        <v>0</v>
      </c>
      <c r="K34" s="1">
        <v>1</v>
      </c>
      <c r="L34" s="1">
        <v>0</v>
      </c>
      <c r="M34" s="1">
        <v>1</v>
      </c>
      <c r="N34" s="1">
        <v>0</v>
      </c>
      <c r="O34" s="1">
        <v>0</v>
      </c>
      <c r="P34" s="1">
        <v>0</v>
      </c>
      <c r="Q34" s="1">
        <v>0</v>
      </c>
      <c r="R34" s="1">
        <v>0</v>
      </c>
      <c r="S34" s="1">
        <v>0</v>
      </c>
      <c r="T34" s="1">
        <v>0</v>
      </c>
      <c r="U34" s="1">
        <v>1</v>
      </c>
      <c r="V34" s="1">
        <v>0</v>
      </c>
      <c r="W34" s="1">
        <v>1</v>
      </c>
      <c r="X34" s="1">
        <v>0</v>
      </c>
      <c r="Y34" s="2">
        <v>1</v>
      </c>
      <c r="Z34" s="1">
        <f t="shared" si="24"/>
        <v>2</v>
      </c>
      <c r="AA34" s="1">
        <f t="shared" si="25"/>
        <v>0</v>
      </c>
      <c r="AB34" s="1">
        <f t="shared" si="22"/>
        <v>3</v>
      </c>
      <c r="AC34" s="1">
        <f t="shared" si="23"/>
        <v>5</v>
      </c>
      <c r="AD34" s="1">
        <f t="shared" si="4"/>
        <v>1.6666666666666665</v>
      </c>
      <c r="AE34" s="1">
        <f t="shared" si="5"/>
        <v>0</v>
      </c>
      <c r="AF34" s="1">
        <f t="shared" si="6"/>
        <v>3</v>
      </c>
      <c r="AG34" s="1">
        <f t="shared" si="7"/>
        <v>1.5555555555555554</v>
      </c>
    </row>
    <row r="35" spans="1:33" ht="14.4" x14ac:dyDescent="0.3">
      <c r="C35" s="22"/>
    </row>
    <row r="36" spans="1:33" ht="14.4" x14ac:dyDescent="0.3">
      <c r="C36" s="22"/>
    </row>
    <row r="37" spans="1:33" ht="14.4" x14ac:dyDescent="0.3">
      <c r="C37" s="22"/>
    </row>
    <row r="38" spans="1:33" ht="14.4" x14ac:dyDescent="0.3">
      <c r="C38" s="22"/>
    </row>
    <row r="39" spans="1:33" ht="14.4" x14ac:dyDescent="0.3">
      <c r="C39" s="22"/>
    </row>
    <row r="40" spans="1:33" ht="14.4" x14ac:dyDescent="0.3">
      <c r="C40" s="22"/>
    </row>
    <row r="41" spans="1:33" ht="14.4" x14ac:dyDescent="0.3">
      <c r="C41" s="22"/>
    </row>
    <row r="42" spans="1:33" ht="14.4" x14ac:dyDescent="0.3">
      <c r="C42" s="22"/>
    </row>
    <row r="43" spans="1:33" ht="14.4" x14ac:dyDescent="0.3">
      <c r="C43" s="22"/>
    </row>
    <row r="44" spans="1:33" ht="14.4" x14ac:dyDescent="0.3">
      <c r="C44" s="22"/>
    </row>
    <row r="45" spans="1:33" ht="14.4" x14ac:dyDescent="0.3">
      <c r="C45" s="22"/>
    </row>
    <row r="46" spans="1:33" ht="14.4" x14ac:dyDescent="0.3">
      <c r="C46" s="22"/>
    </row>
    <row r="47" spans="1:33" ht="14.4" x14ac:dyDescent="0.3">
      <c r="C47" s="22"/>
    </row>
    <row r="48" spans="1:33" ht="14.4" x14ac:dyDescent="0.3">
      <c r="C48" s="22"/>
    </row>
    <row r="49" spans="3:3" ht="14.4" x14ac:dyDescent="0.3">
      <c r="C49" s="22"/>
    </row>
    <row r="50" spans="3:3" ht="14.4" x14ac:dyDescent="0.3">
      <c r="C50" s="22"/>
    </row>
    <row r="51" spans="3:3" ht="14.4" x14ac:dyDescent="0.3">
      <c r="C51" s="22"/>
    </row>
    <row r="52" spans="3:3" ht="14.4" x14ac:dyDescent="0.3">
      <c r="C52" s="22"/>
    </row>
    <row r="53" spans="3:3" ht="14.4" x14ac:dyDescent="0.3">
      <c r="C53" s="22"/>
    </row>
    <row r="54" spans="3:3" ht="14.4" x14ac:dyDescent="0.3">
      <c r="C54" s="22"/>
    </row>
    <row r="55" spans="3:3" ht="14.4" x14ac:dyDescent="0.3"/>
    <row r="56" spans="3:3" ht="14.4" x14ac:dyDescent="0.3"/>
    <row r="57" spans="3:3" ht="14.4" x14ac:dyDescent="0.3"/>
    <row r="58" spans="3:3" ht="14.4" x14ac:dyDescent="0.3"/>
    <row r="59" spans="3:3" ht="14.4" x14ac:dyDescent="0.3"/>
  </sheetData>
  <mergeCells count="3">
    <mergeCell ref="J1:O1"/>
    <mergeCell ref="P1:T1"/>
    <mergeCell ref="U1:Y1"/>
  </mergeCells>
  <phoneticPr fontId="2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318B-811F-4130-A820-05B898282242}">
  <dimension ref="A1:AJ54"/>
  <sheetViews>
    <sheetView tabSelected="1" zoomScale="55" zoomScaleNormal="55" workbookViewId="0">
      <pane ySplit="2" topLeftCell="A3" activePane="bottomLeft" state="frozen"/>
      <selection pane="bottomLeft" activeCell="AH31" sqref="AH31"/>
    </sheetView>
  </sheetViews>
  <sheetFormatPr defaultColWidth="8.6640625" defaultRowHeight="14.4" x14ac:dyDescent="0.3"/>
  <cols>
    <col min="1" max="1" width="19.6640625" style="1" customWidth="1"/>
    <col min="2" max="2" width="31" style="22" customWidth="1"/>
    <col min="3" max="3" width="23.5546875" style="3" customWidth="1"/>
    <col min="4" max="6" width="23.5546875" style="22" customWidth="1"/>
    <col min="7" max="7" width="23.5546875" style="3" customWidth="1"/>
    <col min="8" max="8" width="23.5546875" style="55" customWidth="1"/>
    <col min="9" max="9" width="11.6640625" style="1" customWidth="1"/>
    <col min="10" max="17" width="18.44140625" style="1" customWidth="1"/>
    <col min="18" max="18" width="24.6640625" style="1" customWidth="1"/>
    <col min="19" max="24" width="18.44140625" style="1" customWidth="1"/>
    <col min="25" max="25" width="18.44140625" style="2" customWidth="1"/>
    <col min="26" max="33" width="15.6640625" style="1" customWidth="1"/>
    <col min="34" max="34" width="35.44140625" style="1" customWidth="1"/>
    <col min="35" max="35" width="37.109375" style="1" customWidth="1"/>
    <col min="36" max="36" width="29.6640625" style="1" customWidth="1"/>
    <col min="37" max="16384" width="8.6640625" style="1"/>
  </cols>
  <sheetData>
    <row r="1" spans="1:36" ht="26.25" customHeight="1" x14ac:dyDescent="0.3">
      <c r="J1" s="66" t="s">
        <v>0</v>
      </c>
      <c r="K1" s="67"/>
      <c r="L1" s="67"/>
      <c r="M1" s="67"/>
      <c r="N1" s="67"/>
      <c r="O1" s="67"/>
      <c r="P1" s="68" t="s">
        <v>31</v>
      </c>
      <c r="Q1" s="69"/>
      <c r="R1" s="69"/>
      <c r="S1" s="69"/>
      <c r="T1" s="70"/>
      <c r="U1" s="71" t="s">
        <v>32</v>
      </c>
      <c r="V1" s="71"/>
      <c r="W1" s="71"/>
      <c r="X1" s="71"/>
      <c r="Y1" s="71"/>
      <c r="Z1" s="20"/>
      <c r="AA1" s="20"/>
    </row>
    <row r="2" spans="1:36" s="10" customFormat="1" ht="124.2" customHeight="1" x14ac:dyDescent="0.3">
      <c r="A2" s="21" t="s">
        <v>33</v>
      </c>
      <c r="B2" s="39" t="s">
        <v>34</v>
      </c>
      <c r="C2" s="21" t="s">
        <v>4</v>
      </c>
      <c r="D2" s="39" t="s">
        <v>35</v>
      </c>
      <c r="E2" s="39" t="s">
        <v>36</v>
      </c>
      <c r="F2" s="39" t="s">
        <v>37</v>
      </c>
      <c r="G2" s="39" t="s">
        <v>38</v>
      </c>
      <c r="H2" s="56" t="s">
        <v>39</v>
      </c>
      <c r="I2" s="19" t="s">
        <v>5</v>
      </c>
      <c r="J2" s="17" t="s">
        <v>6</v>
      </c>
      <c r="K2" s="17" t="s">
        <v>7</v>
      </c>
      <c r="L2" s="17" t="s">
        <v>8</v>
      </c>
      <c r="M2" s="17" t="s">
        <v>9</v>
      </c>
      <c r="N2" s="17" t="s">
        <v>10</v>
      </c>
      <c r="O2" s="17" t="s">
        <v>11</v>
      </c>
      <c r="P2" s="17" t="s">
        <v>12</v>
      </c>
      <c r="Q2" s="18" t="s">
        <v>13</v>
      </c>
      <c r="R2" s="53" t="s">
        <v>221</v>
      </c>
      <c r="S2" s="17" t="s">
        <v>15</v>
      </c>
      <c r="T2" s="18" t="s">
        <v>16</v>
      </c>
      <c r="U2" s="17" t="s">
        <v>17</v>
      </c>
      <c r="V2" s="17" t="s">
        <v>18</v>
      </c>
      <c r="W2" s="53" t="s">
        <v>222</v>
      </c>
      <c r="X2" s="17" t="s">
        <v>20</v>
      </c>
      <c r="Y2" s="16" t="s">
        <v>21</v>
      </c>
      <c r="Z2" s="15" t="s">
        <v>22</v>
      </c>
      <c r="AA2" s="14" t="s">
        <v>23</v>
      </c>
      <c r="AB2" s="13" t="s">
        <v>24</v>
      </c>
      <c r="AC2" s="12" t="s">
        <v>25</v>
      </c>
      <c r="AD2" s="15" t="s">
        <v>26</v>
      </c>
      <c r="AE2" s="14" t="s">
        <v>27</v>
      </c>
      <c r="AF2" s="13" t="s">
        <v>28</v>
      </c>
      <c r="AG2" s="12" t="s">
        <v>29</v>
      </c>
      <c r="AH2" s="41" t="s">
        <v>40</v>
      </c>
      <c r="AI2" s="11" t="s">
        <v>30</v>
      </c>
      <c r="AJ2" s="11"/>
    </row>
    <row r="3" spans="1:36" s="37" customFormat="1" x14ac:dyDescent="0.3">
      <c r="A3" s="37" t="s">
        <v>223</v>
      </c>
      <c r="B3" s="35" t="s">
        <v>224</v>
      </c>
      <c r="C3" s="35">
        <v>1</v>
      </c>
      <c r="D3" s="35">
        <v>0</v>
      </c>
      <c r="E3" s="35">
        <v>0</v>
      </c>
      <c r="F3" s="35">
        <v>0</v>
      </c>
      <c r="G3" s="36" t="s">
        <v>50</v>
      </c>
      <c r="H3" s="57" t="s">
        <v>225</v>
      </c>
      <c r="I3" s="37">
        <v>0</v>
      </c>
      <c r="R3" s="38"/>
      <c r="X3" s="38"/>
      <c r="Y3" s="38"/>
      <c r="Z3" s="37">
        <f t="shared" ref="Z3:Z22" si="0">SUM(J3:O3)</f>
        <v>0</v>
      </c>
      <c r="AA3" s="37">
        <f t="shared" ref="AA3:AA20" si="1">SUM(P3:T3)</f>
        <v>0</v>
      </c>
      <c r="AB3" s="37">
        <f t="shared" ref="AB3:AB22" si="2">SUM(U3:Y3)</f>
        <v>0</v>
      </c>
      <c r="AC3" s="37">
        <f t="shared" ref="AC3:AC22" si="3">SUM(Z3:AB3)</f>
        <v>0</v>
      </c>
      <c r="AD3" s="37">
        <f t="shared" ref="AD3:AD22" si="4">Z3/6*5</f>
        <v>0</v>
      </c>
      <c r="AE3" s="37">
        <f t="shared" ref="AE3:AE22" si="5">AA3/5*5</f>
        <v>0</v>
      </c>
      <c r="AF3" s="37">
        <f t="shared" ref="AF3:AF22" si="6" xml:space="preserve"> AB3/5*5</f>
        <v>0</v>
      </c>
      <c r="AG3" s="37">
        <f t="shared" ref="AG3:AG22" si="7">SUM(AD3:AF3)/3</f>
        <v>0</v>
      </c>
      <c r="AJ3" s="50"/>
    </row>
    <row r="4" spans="1:36" x14ac:dyDescent="0.3">
      <c r="A4" s="1" t="s">
        <v>223</v>
      </c>
      <c r="B4" s="22" t="s">
        <v>226</v>
      </c>
      <c r="C4" s="22">
        <v>2</v>
      </c>
      <c r="D4" s="22">
        <v>1</v>
      </c>
      <c r="E4" s="22">
        <v>0</v>
      </c>
      <c r="F4" s="22">
        <v>2</v>
      </c>
      <c r="G4" s="3" t="s">
        <v>48</v>
      </c>
      <c r="H4" s="55" t="s">
        <v>225</v>
      </c>
      <c r="I4" s="1">
        <v>3</v>
      </c>
      <c r="J4" s="1">
        <v>1</v>
      </c>
      <c r="K4" s="1">
        <v>1</v>
      </c>
      <c r="L4" s="1">
        <v>0</v>
      </c>
      <c r="M4" s="1">
        <v>0</v>
      </c>
      <c r="N4" s="1">
        <v>1</v>
      </c>
      <c r="O4" s="1">
        <v>1</v>
      </c>
      <c r="P4" s="1">
        <v>0</v>
      </c>
      <c r="Q4" s="1">
        <v>0</v>
      </c>
      <c r="R4" s="1">
        <v>1</v>
      </c>
      <c r="S4" s="1">
        <v>0</v>
      </c>
      <c r="T4" s="1">
        <v>0</v>
      </c>
      <c r="U4" s="1">
        <v>1</v>
      </c>
      <c r="V4" s="1">
        <v>1</v>
      </c>
      <c r="W4" s="1">
        <v>0</v>
      </c>
      <c r="X4" s="1">
        <v>1</v>
      </c>
      <c r="Y4" s="2">
        <v>0</v>
      </c>
      <c r="Z4" s="1">
        <f t="shared" si="0"/>
        <v>4</v>
      </c>
      <c r="AA4" s="1">
        <f t="shared" si="1"/>
        <v>1</v>
      </c>
      <c r="AB4" s="1">
        <f t="shared" si="2"/>
        <v>3</v>
      </c>
      <c r="AC4" s="1">
        <f t="shared" si="3"/>
        <v>8</v>
      </c>
      <c r="AD4" s="1">
        <f t="shared" si="4"/>
        <v>3.333333333333333</v>
      </c>
      <c r="AE4" s="1">
        <f t="shared" si="5"/>
        <v>1</v>
      </c>
      <c r="AF4" s="1">
        <f t="shared" si="6"/>
        <v>3</v>
      </c>
      <c r="AG4" s="1">
        <f t="shared" si="7"/>
        <v>2.4444444444444442</v>
      </c>
      <c r="AH4" s="54" t="s">
        <v>227</v>
      </c>
    </row>
    <row r="5" spans="1:36" x14ac:dyDescent="0.3">
      <c r="A5" s="1" t="s">
        <v>223</v>
      </c>
      <c r="B5" s="22" t="s">
        <v>228</v>
      </c>
      <c r="C5" s="22">
        <v>3</v>
      </c>
      <c r="D5" s="22">
        <v>1</v>
      </c>
      <c r="E5" s="22">
        <v>0</v>
      </c>
      <c r="F5" s="22">
        <v>2</v>
      </c>
      <c r="G5" s="3" t="s">
        <v>48</v>
      </c>
      <c r="H5" s="55" t="s">
        <v>148</v>
      </c>
      <c r="I5" s="1">
        <v>3</v>
      </c>
      <c r="J5" s="1">
        <v>1</v>
      </c>
      <c r="K5" s="1">
        <v>1</v>
      </c>
      <c r="L5" s="1">
        <v>1</v>
      </c>
      <c r="M5" s="1">
        <v>0</v>
      </c>
      <c r="N5" s="2">
        <v>1</v>
      </c>
      <c r="O5" s="1">
        <v>1</v>
      </c>
      <c r="P5" s="1">
        <v>0</v>
      </c>
      <c r="Q5" s="2">
        <v>0</v>
      </c>
      <c r="R5" s="1">
        <v>1</v>
      </c>
      <c r="S5" s="1">
        <v>0</v>
      </c>
      <c r="T5" s="1">
        <v>0</v>
      </c>
      <c r="U5" s="1">
        <v>0</v>
      </c>
      <c r="V5" s="1">
        <v>1</v>
      </c>
      <c r="W5" s="2">
        <v>1</v>
      </c>
      <c r="X5" s="2">
        <v>1</v>
      </c>
      <c r="Y5" s="2">
        <v>1</v>
      </c>
      <c r="Z5" s="1">
        <f t="shared" si="0"/>
        <v>5</v>
      </c>
      <c r="AA5" s="1">
        <f t="shared" si="1"/>
        <v>1</v>
      </c>
      <c r="AB5" s="1">
        <f t="shared" si="2"/>
        <v>4</v>
      </c>
      <c r="AC5" s="1">
        <f t="shared" si="3"/>
        <v>10</v>
      </c>
      <c r="AD5" s="1">
        <f t="shared" si="4"/>
        <v>4.166666666666667</v>
      </c>
      <c r="AE5" s="1">
        <f t="shared" si="5"/>
        <v>1</v>
      </c>
      <c r="AF5" s="1">
        <f t="shared" si="6"/>
        <v>4</v>
      </c>
      <c r="AG5" s="1">
        <f t="shared" si="7"/>
        <v>3.0555555555555558</v>
      </c>
      <c r="AH5" s="1" t="s">
        <v>229</v>
      </c>
      <c r="AJ5" s="6"/>
    </row>
    <row r="6" spans="1:36" s="37" customFormat="1" x14ac:dyDescent="0.3">
      <c r="A6" s="37" t="s">
        <v>223</v>
      </c>
      <c r="B6" s="35" t="s">
        <v>230</v>
      </c>
      <c r="C6" s="35">
        <v>4</v>
      </c>
      <c r="D6" s="35">
        <v>0</v>
      </c>
      <c r="E6" s="35">
        <v>0</v>
      </c>
      <c r="F6" s="35">
        <v>0</v>
      </c>
      <c r="G6" s="36" t="s">
        <v>50</v>
      </c>
      <c r="H6" s="57" t="s">
        <v>53</v>
      </c>
      <c r="I6" s="37">
        <v>0</v>
      </c>
      <c r="N6" s="38"/>
      <c r="W6" s="38"/>
      <c r="X6" s="38"/>
      <c r="Y6" s="38"/>
      <c r="Z6" s="37">
        <f t="shared" si="0"/>
        <v>0</v>
      </c>
      <c r="AA6" s="37">
        <f t="shared" si="1"/>
        <v>0</v>
      </c>
      <c r="AB6" s="37">
        <f t="shared" si="2"/>
        <v>0</v>
      </c>
      <c r="AC6" s="37">
        <f t="shared" si="3"/>
        <v>0</v>
      </c>
      <c r="AD6" s="37">
        <f t="shared" si="4"/>
        <v>0</v>
      </c>
      <c r="AE6" s="37">
        <f t="shared" si="5"/>
        <v>0</v>
      </c>
      <c r="AF6" s="37">
        <f t="shared" si="6"/>
        <v>0</v>
      </c>
      <c r="AG6" s="37">
        <f t="shared" si="7"/>
        <v>0</v>
      </c>
      <c r="AJ6" s="50"/>
    </row>
    <row r="7" spans="1:36" x14ac:dyDescent="0.3">
      <c r="A7" s="1" t="s">
        <v>223</v>
      </c>
      <c r="B7" s="22" t="s">
        <v>231</v>
      </c>
      <c r="C7" s="22">
        <v>5</v>
      </c>
      <c r="D7" s="22">
        <v>0</v>
      </c>
      <c r="E7" s="22">
        <v>0</v>
      </c>
      <c r="F7" s="22">
        <v>1</v>
      </c>
      <c r="G7" s="3" t="s">
        <v>48</v>
      </c>
      <c r="H7" s="55" t="s">
        <v>232</v>
      </c>
      <c r="I7" s="1">
        <v>1</v>
      </c>
      <c r="J7" s="1">
        <v>1</v>
      </c>
      <c r="K7" s="1">
        <v>1</v>
      </c>
      <c r="L7" s="1">
        <v>1</v>
      </c>
      <c r="M7" s="1">
        <v>0</v>
      </c>
      <c r="N7" s="2">
        <v>0</v>
      </c>
      <c r="O7" s="1">
        <v>0</v>
      </c>
      <c r="P7" s="1">
        <v>0</v>
      </c>
      <c r="Q7" s="1">
        <v>1</v>
      </c>
      <c r="R7" s="1">
        <v>0</v>
      </c>
      <c r="S7" s="1">
        <v>0</v>
      </c>
      <c r="T7" s="1">
        <v>0</v>
      </c>
      <c r="U7" s="1">
        <v>0</v>
      </c>
      <c r="V7" s="1">
        <v>0</v>
      </c>
      <c r="W7" s="2">
        <v>0</v>
      </c>
      <c r="X7" s="2">
        <v>1</v>
      </c>
      <c r="Y7" s="2">
        <v>1</v>
      </c>
      <c r="Z7" s="1">
        <f t="shared" si="0"/>
        <v>3</v>
      </c>
      <c r="AA7" s="1">
        <f t="shared" si="1"/>
        <v>1</v>
      </c>
      <c r="AB7" s="1">
        <f t="shared" si="2"/>
        <v>2</v>
      </c>
      <c r="AC7" s="1">
        <f t="shared" si="3"/>
        <v>6</v>
      </c>
      <c r="AD7" s="1">
        <f t="shared" si="4"/>
        <v>2.5</v>
      </c>
      <c r="AE7" s="1">
        <f t="shared" si="5"/>
        <v>1</v>
      </c>
      <c r="AF7" s="1">
        <f t="shared" si="6"/>
        <v>2</v>
      </c>
      <c r="AG7" s="1">
        <f t="shared" si="7"/>
        <v>1.8333333333333333</v>
      </c>
      <c r="AJ7" s="5"/>
    </row>
    <row r="8" spans="1:36" x14ac:dyDescent="0.3">
      <c r="A8" s="1" t="s">
        <v>223</v>
      </c>
      <c r="B8" s="22" t="s">
        <v>233</v>
      </c>
      <c r="C8" s="22">
        <v>6</v>
      </c>
      <c r="D8" s="22">
        <v>1</v>
      </c>
      <c r="E8" s="22">
        <v>0</v>
      </c>
      <c r="F8" s="22">
        <v>2</v>
      </c>
      <c r="G8" s="3" t="s">
        <v>43</v>
      </c>
      <c r="H8" s="55" t="s">
        <v>53</v>
      </c>
      <c r="I8" s="1">
        <v>4</v>
      </c>
      <c r="J8" s="1">
        <v>1</v>
      </c>
      <c r="K8" s="1">
        <v>1</v>
      </c>
      <c r="L8" s="1">
        <v>1</v>
      </c>
      <c r="M8" s="1">
        <v>1</v>
      </c>
      <c r="N8" s="2">
        <v>1</v>
      </c>
      <c r="O8" s="1">
        <v>1</v>
      </c>
      <c r="P8" s="1">
        <v>0</v>
      </c>
      <c r="Q8" s="1">
        <v>1</v>
      </c>
      <c r="R8" s="1">
        <v>1</v>
      </c>
      <c r="S8" s="1">
        <v>0</v>
      </c>
      <c r="T8" s="1">
        <v>1</v>
      </c>
      <c r="U8" s="1">
        <v>0</v>
      </c>
      <c r="V8" s="1">
        <v>1</v>
      </c>
      <c r="W8" s="2">
        <v>0</v>
      </c>
      <c r="X8" s="2">
        <v>0</v>
      </c>
      <c r="Y8" s="2">
        <v>0</v>
      </c>
      <c r="Z8" s="1">
        <f t="shared" si="0"/>
        <v>6</v>
      </c>
      <c r="AA8" s="1">
        <f t="shared" si="1"/>
        <v>3</v>
      </c>
      <c r="AB8" s="1">
        <f t="shared" si="2"/>
        <v>1</v>
      </c>
      <c r="AC8" s="1">
        <f t="shared" si="3"/>
        <v>10</v>
      </c>
      <c r="AD8" s="1">
        <f>Z8/6*5</f>
        <v>5</v>
      </c>
      <c r="AE8" s="1">
        <f>AA8/5*5</f>
        <v>3</v>
      </c>
      <c r="AF8" s="1">
        <f t="shared" si="6"/>
        <v>1</v>
      </c>
      <c r="AG8" s="1">
        <f t="shared" si="7"/>
        <v>3</v>
      </c>
      <c r="AJ8" s="4"/>
    </row>
    <row r="9" spans="1:36" x14ac:dyDescent="0.3">
      <c r="A9" s="1" t="s">
        <v>223</v>
      </c>
      <c r="B9" s="22" t="s">
        <v>234</v>
      </c>
      <c r="C9" s="22">
        <v>7</v>
      </c>
      <c r="D9" s="22">
        <v>1</v>
      </c>
      <c r="E9" s="22">
        <v>0</v>
      </c>
      <c r="F9" s="22">
        <v>2</v>
      </c>
      <c r="G9" s="3" t="s">
        <v>43</v>
      </c>
      <c r="H9" s="55" t="s">
        <v>235</v>
      </c>
      <c r="I9" s="1">
        <v>4</v>
      </c>
      <c r="J9" s="1">
        <v>1</v>
      </c>
      <c r="K9" s="1">
        <v>1</v>
      </c>
      <c r="L9" s="1">
        <v>1</v>
      </c>
      <c r="M9" s="1">
        <v>1</v>
      </c>
      <c r="N9" s="1">
        <v>1</v>
      </c>
      <c r="O9" s="1">
        <v>1</v>
      </c>
      <c r="P9" s="1">
        <v>0</v>
      </c>
      <c r="Q9" s="1">
        <v>1</v>
      </c>
      <c r="R9" s="1">
        <v>1</v>
      </c>
      <c r="S9" s="1">
        <v>0</v>
      </c>
      <c r="T9" s="1">
        <v>0</v>
      </c>
      <c r="U9" s="1">
        <v>0</v>
      </c>
      <c r="V9" s="1">
        <v>0</v>
      </c>
      <c r="W9" s="1">
        <v>0</v>
      </c>
      <c r="X9" s="1">
        <v>0</v>
      </c>
      <c r="Y9" s="2">
        <v>1</v>
      </c>
      <c r="Z9" s="1">
        <f t="shared" si="0"/>
        <v>6</v>
      </c>
      <c r="AA9" s="1">
        <f t="shared" si="1"/>
        <v>2</v>
      </c>
      <c r="AB9" s="1">
        <f t="shared" si="2"/>
        <v>1</v>
      </c>
      <c r="AC9" s="1">
        <f t="shared" si="3"/>
        <v>9</v>
      </c>
      <c r="AD9" s="1">
        <f t="shared" si="4"/>
        <v>5</v>
      </c>
      <c r="AE9" s="1">
        <f t="shared" si="5"/>
        <v>2</v>
      </c>
      <c r="AF9" s="1">
        <f t="shared" si="6"/>
        <v>1</v>
      </c>
      <c r="AG9" s="1">
        <f t="shared" si="7"/>
        <v>2.6666666666666665</v>
      </c>
    </row>
    <row r="10" spans="1:36" x14ac:dyDescent="0.3">
      <c r="A10" s="1" t="s">
        <v>223</v>
      </c>
      <c r="B10" s="22" t="s">
        <v>236</v>
      </c>
      <c r="C10" s="22">
        <v>8</v>
      </c>
      <c r="D10" s="22">
        <v>0</v>
      </c>
      <c r="E10" s="22">
        <v>0</v>
      </c>
      <c r="F10" s="22">
        <v>1</v>
      </c>
      <c r="G10" s="3" t="s">
        <v>43</v>
      </c>
      <c r="H10" s="55" t="s">
        <v>126</v>
      </c>
      <c r="I10" s="1">
        <v>1</v>
      </c>
      <c r="J10" s="1">
        <v>1</v>
      </c>
      <c r="K10" s="1">
        <v>1</v>
      </c>
      <c r="L10" s="1">
        <v>1</v>
      </c>
      <c r="M10" s="1">
        <v>0</v>
      </c>
      <c r="N10" s="1">
        <v>0</v>
      </c>
      <c r="O10" s="1">
        <v>0</v>
      </c>
      <c r="P10" s="1">
        <v>0</v>
      </c>
      <c r="Q10" s="1">
        <v>1</v>
      </c>
      <c r="R10" s="1">
        <v>0</v>
      </c>
      <c r="S10" s="1">
        <v>0</v>
      </c>
      <c r="T10" s="1">
        <v>0</v>
      </c>
      <c r="U10" s="1">
        <v>0</v>
      </c>
      <c r="V10" s="1">
        <v>0</v>
      </c>
      <c r="W10" s="1">
        <v>0</v>
      </c>
      <c r="X10" s="1">
        <v>1</v>
      </c>
      <c r="Y10" s="2">
        <v>0</v>
      </c>
      <c r="Z10" s="1">
        <f t="shared" si="0"/>
        <v>3</v>
      </c>
      <c r="AA10" s="1">
        <f t="shared" si="1"/>
        <v>1</v>
      </c>
      <c r="AB10" s="1">
        <f t="shared" si="2"/>
        <v>1</v>
      </c>
      <c r="AC10" s="1">
        <f t="shared" si="3"/>
        <v>5</v>
      </c>
      <c r="AD10" s="1">
        <f t="shared" si="4"/>
        <v>2.5</v>
      </c>
      <c r="AE10" s="1">
        <f t="shared" si="5"/>
        <v>1</v>
      </c>
      <c r="AF10" s="1">
        <f t="shared" si="6"/>
        <v>1</v>
      </c>
      <c r="AG10" s="1">
        <f t="shared" si="7"/>
        <v>1.5</v>
      </c>
    </row>
    <row r="11" spans="1:36" x14ac:dyDescent="0.3">
      <c r="A11" s="1" t="s">
        <v>223</v>
      </c>
      <c r="B11" s="22" t="s">
        <v>237</v>
      </c>
      <c r="C11" s="22">
        <v>9</v>
      </c>
      <c r="D11" s="22">
        <v>0</v>
      </c>
      <c r="E11" s="22">
        <v>0</v>
      </c>
      <c r="F11" s="22">
        <v>1</v>
      </c>
      <c r="G11" s="3" t="s">
        <v>43</v>
      </c>
      <c r="H11" s="55" t="s">
        <v>187</v>
      </c>
      <c r="I11" s="1">
        <v>2</v>
      </c>
      <c r="J11" s="1">
        <v>1</v>
      </c>
      <c r="K11" s="1">
        <v>1</v>
      </c>
      <c r="L11" s="1">
        <v>1</v>
      </c>
      <c r="M11" s="1">
        <v>0</v>
      </c>
      <c r="N11" s="1">
        <v>0</v>
      </c>
      <c r="O11" s="1">
        <v>0</v>
      </c>
      <c r="P11" s="1">
        <v>1</v>
      </c>
      <c r="Q11" s="1">
        <v>1</v>
      </c>
      <c r="R11" s="1">
        <v>0</v>
      </c>
      <c r="S11" s="1">
        <v>0</v>
      </c>
      <c r="T11" s="1">
        <v>0</v>
      </c>
      <c r="U11" s="1">
        <v>0</v>
      </c>
      <c r="V11" s="1">
        <v>0</v>
      </c>
      <c r="W11" s="1">
        <v>0</v>
      </c>
      <c r="X11" s="1">
        <v>1</v>
      </c>
      <c r="Y11" s="2">
        <v>0</v>
      </c>
      <c r="Z11" s="1">
        <f t="shared" si="0"/>
        <v>3</v>
      </c>
      <c r="AA11" s="1">
        <f t="shared" si="1"/>
        <v>2</v>
      </c>
      <c r="AB11" s="1">
        <f t="shared" si="2"/>
        <v>1</v>
      </c>
      <c r="AC11" s="1">
        <f t="shared" si="3"/>
        <v>6</v>
      </c>
      <c r="AD11" s="1">
        <f t="shared" si="4"/>
        <v>2.5</v>
      </c>
      <c r="AE11" s="1">
        <f t="shared" si="5"/>
        <v>2</v>
      </c>
      <c r="AF11" s="1">
        <f t="shared" si="6"/>
        <v>1</v>
      </c>
      <c r="AG11" s="1">
        <f t="shared" si="7"/>
        <v>1.8333333333333333</v>
      </c>
      <c r="AH11" s="1" t="s">
        <v>238</v>
      </c>
    </row>
    <row r="12" spans="1:36" x14ac:dyDescent="0.3">
      <c r="A12" s="1" t="s">
        <v>223</v>
      </c>
      <c r="B12" s="22" t="s">
        <v>239</v>
      </c>
      <c r="C12" s="22">
        <v>10</v>
      </c>
      <c r="D12" s="22">
        <v>0</v>
      </c>
      <c r="E12" s="22">
        <v>0</v>
      </c>
      <c r="F12" s="22">
        <v>2</v>
      </c>
      <c r="G12" s="3" t="s">
        <v>48</v>
      </c>
      <c r="H12" s="55" t="s">
        <v>240</v>
      </c>
      <c r="I12" s="1">
        <v>2</v>
      </c>
      <c r="J12" s="1">
        <v>1</v>
      </c>
      <c r="K12" s="1">
        <v>0</v>
      </c>
      <c r="L12" s="1">
        <v>0</v>
      </c>
      <c r="M12" s="1">
        <v>1</v>
      </c>
      <c r="N12" s="1">
        <v>1</v>
      </c>
      <c r="O12" s="1">
        <v>0</v>
      </c>
      <c r="P12" s="1">
        <v>0</v>
      </c>
      <c r="Q12" s="1">
        <v>0</v>
      </c>
      <c r="R12" s="1">
        <v>0</v>
      </c>
      <c r="S12" s="1">
        <v>0</v>
      </c>
      <c r="T12" s="1">
        <v>0</v>
      </c>
      <c r="U12" s="1">
        <v>0</v>
      </c>
      <c r="V12" s="1">
        <v>0</v>
      </c>
      <c r="W12" s="1">
        <v>0</v>
      </c>
      <c r="X12" s="1">
        <v>1</v>
      </c>
      <c r="Y12" s="2">
        <v>1</v>
      </c>
      <c r="Z12" s="1">
        <f t="shared" si="0"/>
        <v>3</v>
      </c>
      <c r="AA12" s="1">
        <f t="shared" si="1"/>
        <v>0</v>
      </c>
      <c r="AB12" s="1">
        <f t="shared" si="2"/>
        <v>2</v>
      </c>
      <c r="AC12" s="1">
        <f t="shared" si="3"/>
        <v>5</v>
      </c>
      <c r="AD12" s="1">
        <f t="shared" si="4"/>
        <v>2.5</v>
      </c>
      <c r="AE12" s="1">
        <f t="shared" si="5"/>
        <v>0</v>
      </c>
      <c r="AF12" s="1">
        <f t="shared" si="6"/>
        <v>2</v>
      </c>
      <c r="AG12" s="1">
        <f t="shared" si="7"/>
        <v>1.5</v>
      </c>
    </row>
    <row r="13" spans="1:36" s="37" customFormat="1" x14ac:dyDescent="0.3">
      <c r="A13" s="37" t="s">
        <v>223</v>
      </c>
      <c r="B13" s="35" t="s">
        <v>241</v>
      </c>
      <c r="C13" s="35">
        <v>11</v>
      </c>
      <c r="D13" s="35">
        <v>0</v>
      </c>
      <c r="E13" s="35">
        <v>0</v>
      </c>
      <c r="F13" s="35">
        <v>0</v>
      </c>
      <c r="G13" s="36" t="s">
        <v>50</v>
      </c>
      <c r="H13" s="57" t="s">
        <v>187</v>
      </c>
      <c r="I13" s="37">
        <v>0</v>
      </c>
      <c r="Y13" s="38"/>
      <c r="Z13" s="37">
        <f t="shared" si="0"/>
        <v>0</v>
      </c>
      <c r="AA13" s="37">
        <f t="shared" si="1"/>
        <v>0</v>
      </c>
      <c r="AB13" s="37">
        <f t="shared" si="2"/>
        <v>0</v>
      </c>
      <c r="AC13" s="37">
        <f t="shared" si="3"/>
        <v>0</v>
      </c>
      <c r="AD13" s="37">
        <f t="shared" si="4"/>
        <v>0</v>
      </c>
      <c r="AE13" s="37">
        <f t="shared" si="5"/>
        <v>0</v>
      </c>
      <c r="AF13" s="37">
        <f t="shared" si="6"/>
        <v>0</v>
      </c>
      <c r="AG13" s="37">
        <f t="shared" si="7"/>
        <v>0</v>
      </c>
    </row>
    <row r="14" spans="1:36" x14ac:dyDescent="0.3">
      <c r="A14" s="1" t="s">
        <v>223</v>
      </c>
      <c r="B14" s="22" t="s">
        <v>242</v>
      </c>
      <c r="C14" s="22">
        <v>12</v>
      </c>
      <c r="D14" s="22">
        <v>1</v>
      </c>
      <c r="E14" s="22">
        <v>0</v>
      </c>
      <c r="F14" s="22">
        <v>2</v>
      </c>
      <c r="G14" s="3" t="s">
        <v>43</v>
      </c>
      <c r="H14" s="55" t="s">
        <v>225</v>
      </c>
      <c r="I14" s="1">
        <v>2</v>
      </c>
      <c r="J14" s="1">
        <v>1</v>
      </c>
      <c r="K14" s="1">
        <v>1</v>
      </c>
      <c r="L14" s="1">
        <v>1</v>
      </c>
      <c r="M14" s="1">
        <v>0</v>
      </c>
      <c r="N14" s="1">
        <v>1</v>
      </c>
      <c r="O14" s="1">
        <v>0</v>
      </c>
      <c r="P14" s="1">
        <v>0</v>
      </c>
      <c r="Q14" s="1">
        <v>0</v>
      </c>
      <c r="R14" s="1">
        <v>0</v>
      </c>
      <c r="S14" s="1">
        <v>0</v>
      </c>
      <c r="T14" s="1">
        <v>0</v>
      </c>
      <c r="U14" s="1">
        <v>1</v>
      </c>
      <c r="V14" s="1">
        <v>0</v>
      </c>
      <c r="W14" s="1">
        <v>1</v>
      </c>
      <c r="X14" s="1">
        <v>1</v>
      </c>
      <c r="Y14" s="2">
        <v>1</v>
      </c>
      <c r="Z14" s="1">
        <f t="shared" si="0"/>
        <v>4</v>
      </c>
      <c r="AA14" s="1">
        <f t="shared" si="1"/>
        <v>0</v>
      </c>
      <c r="AB14" s="1">
        <f t="shared" si="2"/>
        <v>4</v>
      </c>
      <c r="AC14" s="1">
        <f t="shared" si="3"/>
        <v>8</v>
      </c>
      <c r="AD14" s="1">
        <f t="shared" si="4"/>
        <v>3.333333333333333</v>
      </c>
      <c r="AE14" s="1">
        <f t="shared" si="5"/>
        <v>0</v>
      </c>
      <c r="AF14" s="1">
        <f t="shared" si="6"/>
        <v>4</v>
      </c>
      <c r="AG14" s="1">
        <f t="shared" si="7"/>
        <v>2.4444444444444442</v>
      </c>
    </row>
    <row r="15" spans="1:36" x14ac:dyDescent="0.3">
      <c r="A15" s="1" t="s">
        <v>223</v>
      </c>
      <c r="B15" s="22" t="s">
        <v>243</v>
      </c>
      <c r="C15" s="22">
        <v>13</v>
      </c>
      <c r="D15" s="22">
        <v>1</v>
      </c>
      <c r="E15" s="22">
        <v>0</v>
      </c>
      <c r="F15" s="22">
        <v>2</v>
      </c>
      <c r="G15" s="3" t="s">
        <v>43</v>
      </c>
      <c r="H15" s="55" t="s">
        <v>53</v>
      </c>
      <c r="I15" s="1">
        <v>4</v>
      </c>
      <c r="J15" s="1">
        <v>1</v>
      </c>
      <c r="K15" s="1">
        <v>1</v>
      </c>
      <c r="L15" s="1">
        <v>1</v>
      </c>
      <c r="M15" s="1">
        <v>1</v>
      </c>
      <c r="N15" s="1">
        <v>1</v>
      </c>
      <c r="O15" s="1">
        <v>1</v>
      </c>
      <c r="P15" s="1">
        <v>0</v>
      </c>
      <c r="Q15" s="1">
        <v>1</v>
      </c>
      <c r="R15" s="1">
        <v>1</v>
      </c>
      <c r="S15" s="1">
        <v>0</v>
      </c>
      <c r="T15" s="1">
        <v>0</v>
      </c>
      <c r="U15" s="1">
        <v>1</v>
      </c>
      <c r="V15" s="1">
        <v>1</v>
      </c>
      <c r="W15" s="1">
        <v>1</v>
      </c>
      <c r="X15" s="1">
        <v>0</v>
      </c>
      <c r="Y15" s="2">
        <v>1</v>
      </c>
      <c r="Z15" s="1">
        <f t="shared" si="0"/>
        <v>6</v>
      </c>
      <c r="AA15" s="1">
        <f t="shared" si="1"/>
        <v>2</v>
      </c>
      <c r="AB15" s="1">
        <f t="shared" si="2"/>
        <v>4</v>
      </c>
      <c r="AC15" s="1">
        <f t="shared" si="3"/>
        <v>12</v>
      </c>
      <c r="AD15" s="1">
        <f t="shared" si="4"/>
        <v>5</v>
      </c>
      <c r="AE15" s="1">
        <f t="shared" si="5"/>
        <v>2</v>
      </c>
      <c r="AF15" s="1">
        <f t="shared" si="6"/>
        <v>4</v>
      </c>
      <c r="AG15" s="1">
        <f t="shared" si="7"/>
        <v>3.6666666666666665</v>
      </c>
      <c r="AH15" s="1" t="s">
        <v>244</v>
      </c>
    </row>
    <row r="16" spans="1:36" x14ac:dyDescent="0.3">
      <c r="A16" s="1" t="s">
        <v>223</v>
      </c>
      <c r="B16" s="22" t="s">
        <v>245</v>
      </c>
      <c r="C16" s="22">
        <v>14</v>
      </c>
      <c r="D16" s="22">
        <v>1</v>
      </c>
      <c r="E16" s="22">
        <v>0</v>
      </c>
      <c r="F16" s="22">
        <v>2</v>
      </c>
      <c r="G16" s="3" t="s">
        <v>246</v>
      </c>
      <c r="H16" s="55" t="s">
        <v>225</v>
      </c>
      <c r="I16" s="1">
        <v>2</v>
      </c>
      <c r="J16" s="1">
        <v>1</v>
      </c>
      <c r="K16" s="1">
        <v>0</v>
      </c>
      <c r="L16" s="1">
        <v>0</v>
      </c>
      <c r="M16" s="1">
        <v>0</v>
      </c>
      <c r="N16" s="1">
        <v>1</v>
      </c>
      <c r="O16" s="1">
        <v>0</v>
      </c>
      <c r="P16" s="1">
        <v>0</v>
      </c>
      <c r="Q16" s="1">
        <v>0</v>
      </c>
      <c r="R16" s="1">
        <v>0</v>
      </c>
      <c r="S16" s="1">
        <v>0</v>
      </c>
      <c r="T16" s="1">
        <v>0</v>
      </c>
      <c r="U16" s="1">
        <v>1</v>
      </c>
      <c r="V16" s="1">
        <v>1</v>
      </c>
      <c r="W16" s="1">
        <v>1</v>
      </c>
      <c r="X16" s="1">
        <v>1</v>
      </c>
      <c r="Y16" s="2">
        <v>0</v>
      </c>
      <c r="Z16" s="1">
        <f t="shared" si="0"/>
        <v>2</v>
      </c>
      <c r="AA16" s="1">
        <f t="shared" si="1"/>
        <v>0</v>
      </c>
      <c r="AB16" s="1">
        <f t="shared" si="2"/>
        <v>4</v>
      </c>
      <c r="AC16" s="1">
        <f t="shared" si="3"/>
        <v>6</v>
      </c>
      <c r="AD16" s="1">
        <f t="shared" si="4"/>
        <v>1.6666666666666665</v>
      </c>
      <c r="AE16" s="1">
        <f t="shared" si="5"/>
        <v>0</v>
      </c>
      <c r="AF16" s="1">
        <f t="shared" si="6"/>
        <v>4</v>
      </c>
      <c r="AG16" s="1">
        <f t="shared" si="7"/>
        <v>1.8888888888888886</v>
      </c>
    </row>
    <row r="17" spans="1:34" x14ac:dyDescent="0.3">
      <c r="A17" s="1" t="s">
        <v>223</v>
      </c>
      <c r="B17" s="22" t="s">
        <v>247</v>
      </c>
      <c r="C17" s="22">
        <v>15</v>
      </c>
      <c r="D17" s="22">
        <v>1</v>
      </c>
      <c r="E17" s="22">
        <v>0</v>
      </c>
      <c r="F17" s="22">
        <v>2</v>
      </c>
      <c r="G17" s="3" t="s">
        <v>43</v>
      </c>
      <c r="H17" s="55" t="s">
        <v>178</v>
      </c>
      <c r="I17" s="1">
        <v>3</v>
      </c>
      <c r="J17" s="1">
        <v>1</v>
      </c>
      <c r="K17" s="1">
        <v>1</v>
      </c>
      <c r="L17" s="1">
        <v>0</v>
      </c>
      <c r="M17" s="1">
        <v>1</v>
      </c>
      <c r="N17" s="2">
        <v>1</v>
      </c>
      <c r="O17" s="1">
        <v>0</v>
      </c>
      <c r="P17" s="1">
        <v>0</v>
      </c>
      <c r="Q17" s="2">
        <v>1</v>
      </c>
      <c r="R17" s="2">
        <v>1</v>
      </c>
      <c r="S17" s="1">
        <v>0</v>
      </c>
      <c r="T17" s="1">
        <v>0</v>
      </c>
      <c r="U17" s="2">
        <v>0</v>
      </c>
      <c r="V17" s="1">
        <v>1</v>
      </c>
      <c r="W17" s="2">
        <v>0</v>
      </c>
      <c r="X17" s="2">
        <v>0</v>
      </c>
      <c r="Y17" s="2">
        <v>1</v>
      </c>
      <c r="Z17" s="1">
        <f t="shared" si="0"/>
        <v>4</v>
      </c>
      <c r="AA17" s="1">
        <f t="shared" si="1"/>
        <v>2</v>
      </c>
      <c r="AB17" s="1">
        <f t="shared" si="2"/>
        <v>2</v>
      </c>
      <c r="AC17" s="1">
        <f t="shared" si="3"/>
        <v>8</v>
      </c>
      <c r="AD17" s="1">
        <f t="shared" si="4"/>
        <v>3.333333333333333</v>
      </c>
      <c r="AE17" s="1">
        <f t="shared" si="5"/>
        <v>2</v>
      </c>
      <c r="AF17" s="1">
        <f t="shared" si="6"/>
        <v>2</v>
      </c>
      <c r="AG17" s="1">
        <f t="shared" si="7"/>
        <v>2.4444444444444442</v>
      </c>
      <c r="AH17" s="1" t="s">
        <v>248</v>
      </c>
    </row>
    <row r="18" spans="1:34" x14ac:dyDescent="0.3">
      <c r="A18" s="1" t="s">
        <v>223</v>
      </c>
      <c r="B18" s="22" t="s">
        <v>249</v>
      </c>
      <c r="C18" s="22">
        <v>16</v>
      </c>
      <c r="D18" s="22">
        <v>0</v>
      </c>
      <c r="E18" s="22">
        <v>0</v>
      </c>
      <c r="F18" s="22">
        <v>1</v>
      </c>
      <c r="G18" s="3" t="s">
        <v>43</v>
      </c>
      <c r="H18" s="55" t="s">
        <v>225</v>
      </c>
      <c r="I18" s="1">
        <v>1</v>
      </c>
      <c r="J18" s="1">
        <v>1</v>
      </c>
      <c r="K18" s="1">
        <v>0</v>
      </c>
      <c r="L18" s="1">
        <v>0</v>
      </c>
      <c r="M18" s="1">
        <v>0</v>
      </c>
      <c r="N18" s="1">
        <v>0</v>
      </c>
      <c r="O18" s="1">
        <v>0</v>
      </c>
      <c r="P18" s="1">
        <v>0</v>
      </c>
      <c r="Q18" s="1">
        <v>1</v>
      </c>
      <c r="R18" s="1">
        <v>0</v>
      </c>
      <c r="S18" s="1">
        <v>0</v>
      </c>
      <c r="T18" s="1">
        <v>0</v>
      </c>
      <c r="U18" s="1">
        <v>0</v>
      </c>
      <c r="V18" s="1">
        <v>0</v>
      </c>
      <c r="W18" s="1">
        <v>0</v>
      </c>
      <c r="X18" s="1">
        <v>1</v>
      </c>
      <c r="Y18" s="2">
        <v>1</v>
      </c>
      <c r="Z18" s="1">
        <f t="shared" si="0"/>
        <v>1</v>
      </c>
      <c r="AA18" s="1">
        <f t="shared" si="1"/>
        <v>1</v>
      </c>
      <c r="AB18" s="1">
        <f t="shared" si="2"/>
        <v>2</v>
      </c>
      <c r="AC18" s="1">
        <f t="shared" si="3"/>
        <v>4</v>
      </c>
      <c r="AD18" s="1">
        <f t="shared" si="4"/>
        <v>0.83333333333333326</v>
      </c>
      <c r="AE18" s="1">
        <f t="shared" si="5"/>
        <v>1</v>
      </c>
      <c r="AF18" s="1">
        <f t="shared" si="6"/>
        <v>2</v>
      </c>
      <c r="AG18" s="1">
        <f t="shared" si="7"/>
        <v>1.2777777777777777</v>
      </c>
    </row>
    <row r="19" spans="1:34" x14ac:dyDescent="0.3">
      <c r="A19" s="1" t="s">
        <v>223</v>
      </c>
      <c r="B19" s="22" t="s">
        <v>250</v>
      </c>
      <c r="C19" s="22">
        <v>17</v>
      </c>
      <c r="D19" s="22">
        <v>0</v>
      </c>
      <c r="E19" s="22">
        <v>0</v>
      </c>
      <c r="F19" s="22">
        <v>1</v>
      </c>
      <c r="G19" s="3" t="s">
        <v>43</v>
      </c>
      <c r="H19" s="55" t="s">
        <v>187</v>
      </c>
      <c r="I19" s="1">
        <v>1</v>
      </c>
      <c r="J19" s="1">
        <v>1</v>
      </c>
      <c r="K19" s="1">
        <v>0</v>
      </c>
      <c r="L19" s="1">
        <v>0</v>
      </c>
      <c r="M19" s="1">
        <v>0</v>
      </c>
      <c r="N19" s="1">
        <v>0</v>
      </c>
      <c r="O19" s="1">
        <v>0</v>
      </c>
      <c r="P19" s="1">
        <v>0</v>
      </c>
      <c r="Q19" s="1">
        <v>1</v>
      </c>
      <c r="R19" s="1">
        <v>0</v>
      </c>
      <c r="S19" s="1">
        <v>0</v>
      </c>
      <c r="T19" s="1">
        <v>0</v>
      </c>
      <c r="U19" s="1">
        <v>0</v>
      </c>
      <c r="V19" s="1">
        <v>0</v>
      </c>
      <c r="W19" s="1">
        <v>0</v>
      </c>
      <c r="X19" s="1">
        <v>1</v>
      </c>
      <c r="Y19" s="2">
        <v>0</v>
      </c>
      <c r="Z19" s="1">
        <f t="shared" si="0"/>
        <v>1</v>
      </c>
      <c r="AA19" s="1">
        <f t="shared" si="1"/>
        <v>1</v>
      </c>
      <c r="AB19" s="1">
        <f t="shared" si="2"/>
        <v>1</v>
      </c>
      <c r="AC19" s="1">
        <f t="shared" si="3"/>
        <v>3</v>
      </c>
      <c r="AD19" s="1">
        <f t="shared" si="4"/>
        <v>0.83333333333333326</v>
      </c>
      <c r="AE19" s="1">
        <f t="shared" si="5"/>
        <v>1</v>
      </c>
      <c r="AF19" s="1">
        <f t="shared" si="6"/>
        <v>1</v>
      </c>
      <c r="AG19" s="1">
        <f t="shared" si="7"/>
        <v>0.94444444444444431</v>
      </c>
    </row>
    <row r="20" spans="1:34" x14ac:dyDescent="0.3">
      <c r="A20" s="1" t="s">
        <v>223</v>
      </c>
      <c r="B20" s="22" t="s">
        <v>251</v>
      </c>
      <c r="C20" s="22">
        <v>18</v>
      </c>
      <c r="D20" s="22">
        <v>0</v>
      </c>
      <c r="E20" s="22">
        <v>0</v>
      </c>
      <c r="F20" s="22">
        <v>1</v>
      </c>
      <c r="G20" s="3" t="s">
        <v>50</v>
      </c>
      <c r="H20" s="55" t="s">
        <v>53</v>
      </c>
      <c r="I20" s="1">
        <v>1</v>
      </c>
      <c r="J20" s="1">
        <v>1</v>
      </c>
      <c r="K20" s="1">
        <v>0</v>
      </c>
      <c r="L20" s="1">
        <v>0</v>
      </c>
      <c r="M20" s="1">
        <v>0</v>
      </c>
      <c r="N20" s="1">
        <v>0</v>
      </c>
      <c r="O20" s="1">
        <v>0</v>
      </c>
      <c r="P20" s="1">
        <v>0</v>
      </c>
      <c r="Q20" s="1">
        <v>1</v>
      </c>
      <c r="R20" s="1">
        <v>0</v>
      </c>
      <c r="S20" s="1">
        <v>0</v>
      </c>
      <c r="T20" s="1">
        <v>0</v>
      </c>
      <c r="U20" s="1">
        <v>0</v>
      </c>
      <c r="V20" s="1">
        <v>0</v>
      </c>
      <c r="W20" s="1">
        <v>0</v>
      </c>
      <c r="X20" s="1">
        <v>1</v>
      </c>
      <c r="Y20" s="2">
        <v>1</v>
      </c>
      <c r="Z20" s="1">
        <f t="shared" si="0"/>
        <v>1</v>
      </c>
      <c r="AA20" s="1">
        <f t="shared" si="1"/>
        <v>1</v>
      </c>
      <c r="AB20" s="1">
        <f t="shared" si="2"/>
        <v>2</v>
      </c>
      <c r="AC20" s="1">
        <f t="shared" si="3"/>
        <v>4</v>
      </c>
      <c r="AD20" s="1">
        <f t="shared" si="4"/>
        <v>0.83333333333333326</v>
      </c>
      <c r="AE20" s="1">
        <f t="shared" si="5"/>
        <v>1</v>
      </c>
      <c r="AF20" s="1">
        <f t="shared" si="6"/>
        <v>2</v>
      </c>
      <c r="AG20" s="1">
        <f t="shared" si="7"/>
        <v>1.2777777777777777</v>
      </c>
    </row>
    <row r="21" spans="1:34" x14ac:dyDescent="0.3">
      <c r="A21" s="1" t="s">
        <v>223</v>
      </c>
      <c r="B21" s="22" t="s">
        <v>252</v>
      </c>
      <c r="C21" s="22">
        <v>19</v>
      </c>
      <c r="D21" s="22">
        <v>0</v>
      </c>
      <c r="E21" s="22">
        <v>0</v>
      </c>
      <c r="F21" s="22">
        <v>1</v>
      </c>
      <c r="G21" s="3" t="s">
        <v>246</v>
      </c>
      <c r="H21" s="55" t="s">
        <v>187</v>
      </c>
      <c r="I21" s="1">
        <v>2</v>
      </c>
      <c r="J21" s="1">
        <v>1</v>
      </c>
      <c r="K21" s="1">
        <v>1</v>
      </c>
      <c r="L21" s="1">
        <v>0</v>
      </c>
      <c r="M21" s="1">
        <v>0</v>
      </c>
      <c r="N21" s="1">
        <v>0</v>
      </c>
      <c r="O21" s="1">
        <v>0</v>
      </c>
      <c r="P21" s="1">
        <v>0</v>
      </c>
      <c r="Q21" s="1">
        <v>1</v>
      </c>
      <c r="R21" s="1">
        <v>0</v>
      </c>
      <c r="S21" s="1">
        <v>0</v>
      </c>
      <c r="T21" s="1">
        <v>0</v>
      </c>
      <c r="V21" s="1">
        <v>0</v>
      </c>
      <c r="W21" s="1">
        <v>0</v>
      </c>
      <c r="X21" s="1">
        <v>1</v>
      </c>
      <c r="Y21" s="2">
        <v>1</v>
      </c>
      <c r="Z21" s="1">
        <f t="shared" si="0"/>
        <v>2</v>
      </c>
      <c r="AA21" s="1">
        <f>SUM(P21:T21)</f>
        <v>1</v>
      </c>
      <c r="AB21" s="1">
        <f t="shared" si="2"/>
        <v>2</v>
      </c>
      <c r="AC21" s="1">
        <f t="shared" si="3"/>
        <v>5</v>
      </c>
      <c r="AD21" s="1">
        <f t="shared" si="4"/>
        <v>1.6666666666666665</v>
      </c>
      <c r="AE21" s="1">
        <f t="shared" si="5"/>
        <v>1</v>
      </c>
      <c r="AF21" s="1">
        <f t="shared" si="6"/>
        <v>2</v>
      </c>
      <c r="AG21" s="1">
        <f t="shared" si="7"/>
        <v>1.5555555555555554</v>
      </c>
    </row>
    <row r="22" spans="1:34" x14ac:dyDescent="0.3">
      <c r="A22" s="1" t="s">
        <v>223</v>
      </c>
      <c r="B22" s="22" t="s">
        <v>253</v>
      </c>
      <c r="C22" s="22">
        <v>20</v>
      </c>
      <c r="D22" s="22">
        <v>0</v>
      </c>
      <c r="E22" s="22">
        <v>0</v>
      </c>
      <c r="F22" s="22">
        <v>1</v>
      </c>
      <c r="G22" s="3" t="s">
        <v>43</v>
      </c>
      <c r="H22" s="55" t="s">
        <v>53</v>
      </c>
      <c r="I22" s="1">
        <v>2</v>
      </c>
      <c r="J22" s="1">
        <v>1</v>
      </c>
      <c r="K22" s="1">
        <v>1</v>
      </c>
      <c r="L22" s="1">
        <v>0</v>
      </c>
      <c r="M22" s="1">
        <v>1</v>
      </c>
      <c r="N22" s="1">
        <v>0</v>
      </c>
      <c r="O22" s="1">
        <v>0</v>
      </c>
      <c r="P22" s="1">
        <v>0</v>
      </c>
      <c r="Q22" s="1">
        <v>1</v>
      </c>
      <c r="R22" s="1">
        <v>0</v>
      </c>
      <c r="S22" s="1">
        <v>0</v>
      </c>
      <c r="T22" s="1">
        <v>0</v>
      </c>
      <c r="U22" s="1">
        <v>0</v>
      </c>
      <c r="V22" s="1">
        <v>0</v>
      </c>
      <c r="W22" s="1">
        <v>0</v>
      </c>
      <c r="X22" s="1">
        <v>1</v>
      </c>
      <c r="Y22" s="2">
        <v>0</v>
      </c>
      <c r="Z22" s="1">
        <f t="shared" si="0"/>
        <v>3</v>
      </c>
      <c r="AA22" s="1">
        <f>SUM(P22:T22)</f>
        <v>1</v>
      </c>
      <c r="AB22" s="1">
        <f t="shared" si="2"/>
        <v>1</v>
      </c>
      <c r="AC22" s="1">
        <f t="shared" si="3"/>
        <v>5</v>
      </c>
      <c r="AD22" s="1">
        <f t="shared" si="4"/>
        <v>2.5</v>
      </c>
      <c r="AE22" s="1">
        <f t="shared" si="5"/>
        <v>1</v>
      </c>
      <c r="AF22" s="1">
        <f t="shared" si="6"/>
        <v>1</v>
      </c>
      <c r="AG22" s="1">
        <f t="shared" si="7"/>
        <v>1.5</v>
      </c>
    </row>
    <row r="23" spans="1:34" x14ac:dyDescent="0.3">
      <c r="C23" s="22"/>
    </row>
    <row r="24" spans="1:34" x14ac:dyDescent="0.3">
      <c r="C24" s="22"/>
    </row>
    <row r="25" spans="1:34" x14ac:dyDescent="0.3">
      <c r="C25" s="22"/>
    </row>
    <row r="26" spans="1:34" x14ac:dyDescent="0.3">
      <c r="C26" s="22"/>
    </row>
    <row r="27" spans="1:34" x14ac:dyDescent="0.3">
      <c r="C27" s="22"/>
    </row>
    <row r="28" spans="1:34" x14ac:dyDescent="0.3">
      <c r="C28" s="22"/>
    </row>
    <row r="29" spans="1:34" x14ac:dyDescent="0.3">
      <c r="C29" s="22"/>
    </row>
    <row r="30" spans="1:34" x14ac:dyDescent="0.3">
      <c r="C30" s="22"/>
    </row>
    <row r="31" spans="1:34" x14ac:dyDescent="0.3">
      <c r="C31" s="22"/>
    </row>
    <row r="32" spans="1:34" x14ac:dyDescent="0.3">
      <c r="C32" s="22"/>
    </row>
    <row r="33" spans="3:3" x14ac:dyDescent="0.3">
      <c r="C33" s="22"/>
    </row>
    <row r="34" spans="3:3" x14ac:dyDescent="0.3">
      <c r="C34" s="22"/>
    </row>
    <row r="35" spans="3:3" x14ac:dyDescent="0.3">
      <c r="C35" s="22"/>
    </row>
    <row r="36" spans="3:3" x14ac:dyDescent="0.3">
      <c r="C36" s="22"/>
    </row>
    <row r="37" spans="3:3" x14ac:dyDescent="0.3">
      <c r="C37" s="22"/>
    </row>
    <row r="38" spans="3:3" x14ac:dyDescent="0.3">
      <c r="C38" s="22"/>
    </row>
    <row r="39" spans="3:3" x14ac:dyDescent="0.3">
      <c r="C39" s="22"/>
    </row>
    <row r="40" spans="3:3" x14ac:dyDescent="0.3">
      <c r="C40" s="22"/>
    </row>
    <row r="41" spans="3:3" x14ac:dyDescent="0.3">
      <c r="C41" s="22"/>
    </row>
    <row r="42" spans="3:3" x14ac:dyDescent="0.3">
      <c r="C42" s="22"/>
    </row>
    <row r="43" spans="3:3" x14ac:dyDescent="0.3">
      <c r="C43" s="22"/>
    </row>
    <row r="44" spans="3:3" x14ac:dyDescent="0.3">
      <c r="C44" s="22"/>
    </row>
    <row r="45" spans="3:3" x14ac:dyDescent="0.3">
      <c r="C45" s="22"/>
    </row>
    <row r="46" spans="3:3" x14ac:dyDescent="0.3">
      <c r="C46" s="22"/>
    </row>
    <row r="47" spans="3:3" x14ac:dyDescent="0.3">
      <c r="C47" s="22"/>
    </row>
    <row r="48" spans="3:3" x14ac:dyDescent="0.3">
      <c r="C48" s="22"/>
    </row>
    <row r="49" spans="3:3" x14ac:dyDescent="0.3">
      <c r="C49" s="22"/>
    </row>
    <row r="50" spans="3:3" x14ac:dyDescent="0.3">
      <c r="C50" s="22"/>
    </row>
    <row r="51" spans="3:3" x14ac:dyDescent="0.3">
      <c r="C51" s="22"/>
    </row>
    <row r="52" spans="3:3" x14ac:dyDescent="0.3">
      <c r="C52" s="22"/>
    </row>
    <row r="53" spans="3:3" x14ac:dyDescent="0.3">
      <c r="C53" s="22"/>
    </row>
    <row r="54" spans="3:3" x14ac:dyDescent="0.3">
      <c r="C54" s="22"/>
    </row>
  </sheetData>
  <mergeCells count="3">
    <mergeCell ref="J1:O1"/>
    <mergeCell ref="P1:T1"/>
    <mergeCell ref="U1:Y1"/>
  </mergeCells>
  <phoneticPr fontId="20"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2888-7973-47DC-A544-A7D66FB94C5B}">
  <dimension ref="A1:AF87"/>
  <sheetViews>
    <sheetView topLeftCell="B1" zoomScale="55" zoomScaleNormal="55" workbookViewId="0">
      <pane xSplit="2" ySplit="2" topLeftCell="AA29" activePane="bottomRight" state="frozen"/>
      <selection pane="topRight" activeCell="C1" sqref="C1"/>
      <selection pane="bottomLeft" activeCell="B3" sqref="B3"/>
      <selection pane="bottomRight" activeCell="AA3" sqref="AA3"/>
    </sheetView>
  </sheetViews>
  <sheetFormatPr defaultColWidth="8.6640625" defaultRowHeight="14.4" x14ac:dyDescent="0.3"/>
  <cols>
    <col min="1" max="1" width="19.6640625" style="1" bestFit="1" customWidth="1"/>
    <col min="2" max="5" width="23.5546875" style="3" customWidth="1"/>
    <col min="6" max="6" width="11.6640625" style="1" customWidth="1"/>
    <col min="7" max="14" width="18.44140625" style="1" customWidth="1"/>
    <col min="15" max="15" width="24.6640625" style="1" customWidth="1"/>
    <col min="16" max="21" width="18.44140625" style="1" customWidth="1"/>
    <col min="22" max="22" width="18.44140625" style="2" customWidth="1"/>
    <col min="23" max="30" width="15.6640625" style="1" customWidth="1"/>
    <col min="31" max="31" width="8.6640625" style="1" customWidth="1"/>
    <col min="32" max="32" width="29.6640625" style="1" customWidth="1"/>
    <col min="33" max="16384" width="8.6640625" style="1"/>
  </cols>
  <sheetData>
    <row r="1" spans="1:32" ht="71.7" customHeight="1" x14ac:dyDescent="0.3">
      <c r="G1" s="66" t="s">
        <v>0</v>
      </c>
      <c r="H1" s="67"/>
      <c r="I1" s="67"/>
      <c r="J1" s="67"/>
      <c r="K1" s="67"/>
      <c r="L1" s="67"/>
      <c r="M1" s="68" t="s">
        <v>31</v>
      </c>
      <c r="N1" s="69"/>
      <c r="O1" s="69"/>
      <c r="P1" s="69"/>
      <c r="Q1" s="70"/>
      <c r="R1" s="71" t="s">
        <v>32</v>
      </c>
      <c r="S1" s="71"/>
      <c r="T1" s="71"/>
      <c r="U1" s="71"/>
      <c r="V1" s="71"/>
      <c r="W1" s="20"/>
      <c r="X1" s="20"/>
    </row>
    <row r="2" spans="1:32" s="10" customFormat="1" ht="155.4" customHeight="1" x14ac:dyDescent="0.3">
      <c r="A2" s="17" t="s">
        <v>3</v>
      </c>
      <c r="B2" s="21" t="s">
        <v>34</v>
      </c>
      <c r="C2" s="21" t="s">
        <v>4</v>
      </c>
      <c r="D2" s="21" t="s">
        <v>37</v>
      </c>
      <c r="E2" s="21" t="s">
        <v>38</v>
      </c>
      <c r="F2" s="19" t="s">
        <v>5</v>
      </c>
      <c r="G2" s="17" t="s">
        <v>6</v>
      </c>
      <c r="H2" s="17" t="s">
        <v>7</v>
      </c>
      <c r="I2" s="17" t="s">
        <v>8</v>
      </c>
      <c r="J2" s="17" t="s">
        <v>9</v>
      </c>
      <c r="K2" s="17" t="s">
        <v>10</v>
      </c>
      <c r="L2" s="17" t="s">
        <v>11</v>
      </c>
      <c r="M2" s="17" t="s">
        <v>12</v>
      </c>
      <c r="N2" s="18" t="s">
        <v>13</v>
      </c>
      <c r="O2" s="17" t="s">
        <v>14</v>
      </c>
      <c r="P2" s="17" t="s">
        <v>15</v>
      </c>
      <c r="Q2" s="18" t="s">
        <v>16</v>
      </c>
      <c r="R2" s="17" t="s">
        <v>17</v>
      </c>
      <c r="S2" s="17" t="s">
        <v>18</v>
      </c>
      <c r="T2" s="17" t="s">
        <v>19</v>
      </c>
      <c r="U2" s="17" t="s">
        <v>20</v>
      </c>
      <c r="V2" s="16" t="s">
        <v>21</v>
      </c>
      <c r="W2" s="15" t="s">
        <v>22</v>
      </c>
      <c r="X2" s="14" t="s">
        <v>23</v>
      </c>
      <c r="Y2" s="13" t="s">
        <v>24</v>
      </c>
      <c r="Z2" s="12" t="s">
        <v>25</v>
      </c>
      <c r="AA2" s="15" t="s">
        <v>26</v>
      </c>
      <c r="AB2" s="14" t="s">
        <v>27</v>
      </c>
      <c r="AC2" s="13" t="s">
        <v>28</v>
      </c>
      <c r="AD2" s="12" t="s">
        <v>29</v>
      </c>
      <c r="AF2" s="11" t="s">
        <v>30</v>
      </c>
    </row>
    <row r="3" spans="1:32" x14ac:dyDescent="0.3">
      <c r="A3" s="7"/>
      <c r="B3" s="9" t="s">
        <v>254</v>
      </c>
      <c r="C3" s="9" t="s">
        <v>254</v>
      </c>
      <c r="D3" s="9"/>
      <c r="E3" s="9"/>
      <c r="F3" s="8"/>
      <c r="G3" s="7">
        <v>1</v>
      </c>
      <c r="H3" s="7">
        <v>1</v>
      </c>
      <c r="I3" s="7">
        <v>1</v>
      </c>
      <c r="J3" s="7">
        <v>1</v>
      </c>
      <c r="K3" s="7">
        <v>1</v>
      </c>
      <c r="L3" s="7">
        <v>1</v>
      </c>
      <c r="M3" s="7">
        <v>1</v>
      </c>
      <c r="N3" s="7">
        <v>1</v>
      </c>
      <c r="O3" s="7">
        <v>1</v>
      </c>
      <c r="P3" s="7">
        <v>1</v>
      </c>
      <c r="Q3" s="7">
        <v>1</v>
      </c>
      <c r="R3" s="7">
        <v>1</v>
      </c>
      <c r="S3" s="7">
        <v>1</v>
      </c>
      <c r="T3" s="7">
        <v>1</v>
      </c>
      <c r="U3" s="7">
        <v>1</v>
      </c>
      <c r="V3" s="7">
        <v>1</v>
      </c>
      <c r="W3" s="1">
        <f t="shared" ref="W3:W24" si="0">SUM(G3:L3)</f>
        <v>6</v>
      </c>
      <c r="X3" s="1">
        <f t="shared" ref="X3:X24" si="1">SUM(M3:Q3)</f>
        <v>5</v>
      </c>
      <c r="Y3" s="1">
        <f t="shared" ref="Y3:Y24" si="2">SUM(R3:V3)</f>
        <v>5</v>
      </c>
      <c r="Z3" s="1">
        <f t="shared" ref="Z3:Z24" si="3">SUM(W3:Y3)</f>
        <v>16</v>
      </c>
      <c r="AA3" s="1">
        <f>W3/7*5</f>
        <v>4.2857142857142856</v>
      </c>
      <c r="AB3" s="1">
        <f t="shared" ref="AB3:AB24" si="4">X3/5*5</f>
        <v>5</v>
      </c>
      <c r="AC3" s="1">
        <f xml:space="preserve"> Y3/7*5</f>
        <v>3.5714285714285716</v>
      </c>
      <c r="AD3" s="1">
        <f t="shared" ref="AD3:AD24" si="5">SUM(AA3:AC3)/3</f>
        <v>4.2857142857142856</v>
      </c>
    </row>
    <row r="4" spans="1:32" x14ac:dyDescent="0.3">
      <c r="B4" s="3" t="s">
        <v>255</v>
      </c>
      <c r="C4" s="3" t="s">
        <v>255</v>
      </c>
      <c r="F4" s="1">
        <v>4</v>
      </c>
      <c r="G4" s="1">
        <v>1</v>
      </c>
      <c r="H4" s="1">
        <v>1</v>
      </c>
      <c r="I4" s="1">
        <v>1</v>
      </c>
      <c r="J4" s="1">
        <v>1</v>
      </c>
      <c r="K4" s="1">
        <v>1</v>
      </c>
      <c r="L4" s="1">
        <v>1</v>
      </c>
      <c r="M4" s="2">
        <v>0</v>
      </c>
      <c r="N4" s="1">
        <v>1</v>
      </c>
      <c r="O4" s="1">
        <v>1</v>
      </c>
      <c r="P4" s="1">
        <v>1</v>
      </c>
      <c r="Q4" s="1">
        <v>1</v>
      </c>
      <c r="R4" s="1">
        <v>1</v>
      </c>
      <c r="S4" s="1">
        <v>1</v>
      </c>
      <c r="T4" s="1">
        <v>0</v>
      </c>
      <c r="U4" s="1">
        <v>0</v>
      </c>
      <c r="V4" s="2">
        <v>0</v>
      </c>
      <c r="W4" s="1">
        <f t="shared" si="0"/>
        <v>6</v>
      </c>
      <c r="X4" s="1">
        <f t="shared" si="1"/>
        <v>4</v>
      </c>
      <c r="Y4" s="1">
        <f t="shared" si="2"/>
        <v>2</v>
      </c>
      <c r="Z4" s="1">
        <f t="shared" si="3"/>
        <v>12</v>
      </c>
      <c r="AA4" s="1">
        <f>W4/6*5</f>
        <v>5</v>
      </c>
      <c r="AB4" s="1">
        <f t="shared" si="4"/>
        <v>4</v>
      </c>
      <c r="AC4" s="1">
        <f xml:space="preserve"> Y4/5*5</f>
        <v>2</v>
      </c>
      <c r="AD4" s="1">
        <f t="shared" si="5"/>
        <v>3.6666666666666665</v>
      </c>
    </row>
    <row r="5" spans="1:32" x14ac:dyDescent="0.3">
      <c r="K5" s="2"/>
      <c r="O5" s="2"/>
      <c r="W5" s="1">
        <f t="shared" si="0"/>
        <v>0</v>
      </c>
      <c r="X5" s="1">
        <f t="shared" si="1"/>
        <v>0</v>
      </c>
      <c r="Y5" s="1">
        <f t="shared" si="2"/>
        <v>0</v>
      </c>
      <c r="Z5" s="1">
        <f t="shared" si="3"/>
        <v>0</v>
      </c>
      <c r="AA5" s="1">
        <f t="shared" ref="AA5:AA24" si="6">W5/7*5</f>
        <v>0</v>
      </c>
      <c r="AB5" s="1">
        <f t="shared" si="4"/>
        <v>0</v>
      </c>
      <c r="AC5" s="1">
        <f t="shared" ref="AC5:AC24" si="7" xml:space="preserve"> Y5/7*5</f>
        <v>0</v>
      </c>
      <c r="AD5" s="1">
        <f t="shared" si="5"/>
        <v>0</v>
      </c>
      <c r="AF5" s="4"/>
    </row>
    <row r="6" spans="1:32" x14ac:dyDescent="0.3">
      <c r="B6" s="74" t="s">
        <v>88</v>
      </c>
      <c r="C6" s="74">
        <v>1</v>
      </c>
      <c r="D6" s="22"/>
      <c r="E6" s="3" t="s">
        <v>43</v>
      </c>
      <c r="F6" s="1">
        <v>0</v>
      </c>
      <c r="G6" s="1">
        <v>1</v>
      </c>
      <c r="H6" s="1">
        <v>0</v>
      </c>
      <c r="I6" s="1">
        <v>0</v>
      </c>
      <c r="J6" s="1">
        <v>0</v>
      </c>
      <c r="K6" s="1">
        <v>0</v>
      </c>
      <c r="L6" s="1">
        <v>0</v>
      </c>
      <c r="M6" s="1">
        <v>0</v>
      </c>
      <c r="N6" s="1">
        <v>1</v>
      </c>
      <c r="O6" s="2">
        <v>0</v>
      </c>
      <c r="P6" s="1">
        <v>0</v>
      </c>
      <c r="Q6" s="1">
        <v>0</v>
      </c>
      <c r="R6" s="1">
        <v>0</v>
      </c>
      <c r="S6" s="1">
        <v>0</v>
      </c>
      <c r="T6" s="1">
        <v>0</v>
      </c>
      <c r="U6" s="2">
        <v>1</v>
      </c>
      <c r="V6" s="2">
        <v>1</v>
      </c>
      <c r="W6" s="1">
        <f t="shared" si="0"/>
        <v>1</v>
      </c>
      <c r="X6" s="1">
        <f t="shared" si="1"/>
        <v>1</v>
      </c>
      <c r="Y6" s="1">
        <f t="shared" si="2"/>
        <v>2</v>
      </c>
      <c r="Z6" s="1">
        <f t="shared" si="3"/>
        <v>4</v>
      </c>
      <c r="AA6" s="1">
        <f t="shared" si="6"/>
        <v>0.71428571428571419</v>
      </c>
      <c r="AB6" s="1">
        <f t="shared" si="4"/>
        <v>1</v>
      </c>
      <c r="AC6" s="1">
        <f t="shared" si="7"/>
        <v>1.4285714285714284</v>
      </c>
      <c r="AD6" s="1">
        <f t="shared" si="5"/>
        <v>1.0476190476190474</v>
      </c>
      <c r="AF6" s="4"/>
    </row>
    <row r="7" spans="1:32" x14ac:dyDescent="0.3">
      <c r="B7" s="74"/>
      <c r="C7" s="74"/>
      <c r="D7" s="22"/>
      <c r="E7" s="3" t="s">
        <v>48</v>
      </c>
      <c r="F7" s="1">
        <v>0</v>
      </c>
      <c r="G7" s="2">
        <v>1</v>
      </c>
      <c r="H7" s="1">
        <v>0</v>
      </c>
      <c r="I7" s="1">
        <v>0</v>
      </c>
      <c r="J7" s="1">
        <v>0</v>
      </c>
      <c r="K7" s="2">
        <v>0</v>
      </c>
      <c r="L7" s="1">
        <v>0</v>
      </c>
      <c r="M7" s="1">
        <v>0</v>
      </c>
      <c r="N7" s="2">
        <v>1</v>
      </c>
      <c r="O7" s="1">
        <v>0</v>
      </c>
      <c r="P7" s="1">
        <v>0</v>
      </c>
      <c r="Q7" s="1">
        <v>0</v>
      </c>
      <c r="R7" s="2">
        <v>0</v>
      </c>
      <c r="S7" s="1">
        <v>0</v>
      </c>
      <c r="T7" s="2">
        <v>0</v>
      </c>
      <c r="U7" s="2">
        <v>1</v>
      </c>
      <c r="V7" s="2">
        <v>1</v>
      </c>
      <c r="W7" s="1">
        <f t="shared" si="0"/>
        <v>1</v>
      </c>
      <c r="X7" s="1">
        <f t="shared" si="1"/>
        <v>1</v>
      </c>
      <c r="Y7" s="1">
        <f t="shared" si="2"/>
        <v>2</v>
      </c>
      <c r="Z7" s="1">
        <f t="shared" si="3"/>
        <v>4</v>
      </c>
      <c r="AA7" s="1">
        <f t="shared" si="6"/>
        <v>0.71428571428571419</v>
      </c>
      <c r="AB7" s="1">
        <f t="shared" si="4"/>
        <v>1</v>
      </c>
      <c r="AC7" s="1">
        <f t="shared" si="7"/>
        <v>1.4285714285714284</v>
      </c>
      <c r="AD7" s="1">
        <f t="shared" si="5"/>
        <v>1.0476190476190474</v>
      </c>
      <c r="AE7" s="4"/>
      <c r="AF7" s="4"/>
    </row>
    <row r="8" spans="1:32" x14ac:dyDescent="0.3">
      <c r="B8" s="74" t="s">
        <v>90</v>
      </c>
      <c r="C8" s="74">
        <v>2</v>
      </c>
      <c r="D8" s="22"/>
      <c r="E8" s="3" t="s">
        <v>43</v>
      </c>
      <c r="K8" s="2"/>
      <c r="W8" s="1">
        <f t="shared" si="0"/>
        <v>0</v>
      </c>
      <c r="X8" s="1">
        <f t="shared" si="1"/>
        <v>0</v>
      </c>
      <c r="Y8" s="1">
        <f t="shared" si="2"/>
        <v>0</v>
      </c>
      <c r="Z8" s="1">
        <f t="shared" si="3"/>
        <v>0</v>
      </c>
      <c r="AA8" s="1">
        <f t="shared" si="6"/>
        <v>0</v>
      </c>
      <c r="AB8" s="1">
        <f t="shared" si="4"/>
        <v>0</v>
      </c>
      <c r="AC8" s="1">
        <f t="shared" si="7"/>
        <v>0</v>
      </c>
      <c r="AD8" s="1">
        <f t="shared" si="5"/>
        <v>0</v>
      </c>
      <c r="AF8" s="4"/>
    </row>
    <row r="9" spans="1:32" x14ac:dyDescent="0.3">
      <c r="B9" s="74"/>
      <c r="C9" s="74"/>
      <c r="D9" s="22"/>
      <c r="E9" s="3" t="s">
        <v>48</v>
      </c>
      <c r="K9" s="2"/>
      <c r="T9" s="2"/>
      <c r="U9" s="2"/>
      <c r="W9" s="1">
        <f t="shared" si="0"/>
        <v>0</v>
      </c>
      <c r="X9" s="1">
        <f t="shared" si="1"/>
        <v>0</v>
      </c>
      <c r="Y9" s="1">
        <f t="shared" si="2"/>
        <v>0</v>
      </c>
      <c r="Z9" s="1">
        <f t="shared" si="3"/>
        <v>0</v>
      </c>
      <c r="AA9" s="1">
        <f t="shared" si="6"/>
        <v>0</v>
      </c>
      <c r="AB9" s="1">
        <f t="shared" si="4"/>
        <v>0</v>
      </c>
      <c r="AC9" s="1">
        <f t="shared" si="7"/>
        <v>0</v>
      </c>
      <c r="AD9" s="1">
        <f t="shared" si="5"/>
        <v>0</v>
      </c>
      <c r="AF9" s="4"/>
    </row>
    <row r="10" spans="1:32" x14ac:dyDescent="0.3">
      <c r="B10" s="74" t="s">
        <v>94</v>
      </c>
      <c r="C10" s="74">
        <v>3</v>
      </c>
      <c r="D10" s="22"/>
      <c r="E10" s="3" t="s">
        <v>43</v>
      </c>
      <c r="F10" s="1">
        <v>0</v>
      </c>
      <c r="G10" s="1">
        <v>1</v>
      </c>
      <c r="H10" s="1">
        <v>0</v>
      </c>
      <c r="I10" s="1">
        <v>0</v>
      </c>
      <c r="J10" s="1">
        <v>0</v>
      </c>
      <c r="K10" s="2">
        <v>0</v>
      </c>
      <c r="L10" s="1">
        <v>0</v>
      </c>
      <c r="M10" s="1">
        <v>0</v>
      </c>
      <c r="N10" s="2">
        <v>1</v>
      </c>
      <c r="O10" s="1">
        <v>0</v>
      </c>
      <c r="P10" s="1">
        <v>0</v>
      </c>
      <c r="Q10" s="1">
        <v>0</v>
      </c>
      <c r="R10" s="1">
        <v>0</v>
      </c>
      <c r="S10" s="1">
        <v>0</v>
      </c>
      <c r="T10" s="2">
        <v>0</v>
      </c>
      <c r="U10" s="2">
        <v>1</v>
      </c>
      <c r="V10" s="2">
        <v>1</v>
      </c>
      <c r="W10" s="1">
        <f t="shared" si="0"/>
        <v>1</v>
      </c>
      <c r="X10" s="1">
        <f t="shared" si="1"/>
        <v>1</v>
      </c>
      <c r="Y10" s="1">
        <f t="shared" si="2"/>
        <v>2</v>
      </c>
      <c r="Z10" s="1">
        <f t="shared" si="3"/>
        <v>4</v>
      </c>
      <c r="AA10" s="1">
        <f t="shared" si="6"/>
        <v>0.71428571428571419</v>
      </c>
      <c r="AB10" s="1">
        <f t="shared" si="4"/>
        <v>1</v>
      </c>
      <c r="AC10" s="1">
        <f t="shared" si="7"/>
        <v>1.4285714285714284</v>
      </c>
      <c r="AD10" s="1">
        <f t="shared" si="5"/>
        <v>1.0476190476190474</v>
      </c>
      <c r="AF10" s="6"/>
    </row>
    <row r="11" spans="1:32" x14ac:dyDescent="0.3">
      <c r="B11" s="74"/>
      <c r="C11" s="74"/>
      <c r="D11" s="22"/>
      <c r="E11" s="3" t="s">
        <v>48</v>
      </c>
      <c r="F11" s="1">
        <v>0</v>
      </c>
      <c r="G11" s="1">
        <v>0</v>
      </c>
      <c r="H11" s="1">
        <v>0</v>
      </c>
      <c r="I11" s="1">
        <v>0</v>
      </c>
      <c r="J11" s="1">
        <v>0</v>
      </c>
      <c r="K11" s="2">
        <v>0</v>
      </c>
      <c r="L11" s="1">
        <v>0</v>
      </c>
      <c r="M11" s="1">
        <v>0</v>
      </c>
      <c r="N11" s="2">
        <v>0</v>
      </c>
      <c r="O11" s="1">
        <v>0</v>
      </c>
      <c r="P11" s="1">
        <v>0</v>
      </c>
      <c r="Q11" s="1">
        <v>0</v>
      </c>
      <c r="R11" s="1">
        <v>0</v>
      </c>
      <c r="S11" s="1">
        <v>0</v>
      </c>
      <c r="T11" s="2">
        <v>0</v>
      </c>
      <c r="U11" s="2">
        <v>0</v>
      </c>
      <c r="V11" s="2">
        <v>0</v>
      </c>
      <c r="W11" s="1">
        <f t="shared" si="0"/>
        <v>0</v>
      </c>
      <c r="X11" s="1">
        <f t="shared" si="1"/>
        <v>0</v>
      </c>
      <c r="Y11" s="1">
        <f t="shared" si="2"/>
        <v>0</v>
      </c>
      <c r="Z11" s="1">
        <f t="shared" si="3"/>
        <v>0</v>
      </c>
      <c r="AA11" s="1">
        <f t="shared" si="6"/>
        <v>0</v>
      </c>
      <c r="AB11" s="1">
        <f t="shared" si="4"/>
        <v>0</v>
      </c>
      <c r="AC11" s="1">
        <f t="shared" si="7"/>
        <v>0</v>
      </c>
      <c r="AD11" s="1">
        <f t="shared" si="5"/>
        <v>0</v>
      </c>
      <c r="AF11" s="4"/>
    </row>
    <row r="12" spans="1:32" x14ac:dyDescent="0.3">
      <c r="B12" s="74" t="s">
        <v>95</v>
      </c>
      <c r="C12" s="74">
        <v>4</v>
      </c>
      <c r="D12" s="22"/>
      <c r="E12" s="3" t="s">
        <v>43</v>
      </c>
      <c r="F12" s="1">
        <v>1</v>
      </c>
      <c r="G12" s="1">
        <v>1</v>
      </c>
      <c r="H12" s="1">
        <v>0</v>
      </c>
      <c r="I12" s="1">
        <v>0</v>
      </c>
      <c r="J12" s="1">
        <v>0</v>
      </c>
      <c r="K12" s="2">
        <v>0</v>
      </c>
      <c r="L12" s="1">
        <v>0</v>
      </c>
      <c r="M12" s="2">
        <v>0</v>
      </c>
      <c r="N12" s="1">
        <v>1</v>
      </c>
      <c r="O12" s="1">
        <v>0</v>
      </c>
      <c r="P12" s="1">
        <v>0</v>
      </c>
      <c r="Q12" s="1">
        <v>0</v>
      </c>
      <c r="R12" s="1">
        <v>0</v>
      </c>
      <c r="S12" s="1">
        <v>0</v>
      </c>
      <c r="T12" s="2">
        <v>0</v>
      </c>
      <c r="U12" s="2">
        <v>0</v>
      </c>
      <c r="V12" s="2">
        <v>1</v>
      </c>
      <c r="W12" s="1">
        <f t="shared" si="0"/>
        <v>1</v>
      </c>
      <c r="X12" s="1">
        <f t="shared" si="1"/>
        <v>1</v>
      </c>
      <c r="Y12" s="1">
        <f t="shared" si="2"/>
        <v>1</v>
      </c>
      <c r="Z12" s="1">
        <f t="shared" si="3"/>
        <v>3</v>
      </c>
      <c r="AA12" s="1">
        <f t="shared" si="6"/>
        <v>0.71428571428571419</v>
      </c>
      <c r="AB12" s="1">
        <f t="shared" si="4"/>
        <v>1</v>
      </c>
      <c r="AC12" s="1">
        <f t="shared" si="7"/>
        <v>0.71428571428571419</v>
      </c>
      <c r="AD12" s="1">
        <f t="shared" si="5"/>
        <v>0.80952380952380942</v>
      </c>
      <c r="AF12" s="4"/>
    </row>
    <row r="13" spans="1:32" x14ac:dyDescent="0.3">
      <c r="B13" s="74"/>
      <c r="C13" s="74"/>
      <c r="D13" s="22"/>
      <c r="E13" s="3" t="s">
        <v>48</v>
      </c>
      <c r="F13" s="1">
        <v>3</v>
      </c>
      <c r="G13" s="1">
        <v>1</v>
      </c>
      <c r="H13" s="1">
        <v>1</v>
      </c>
      <c r="I13" s="1">
        <v>1</v>
      </c>
      <c r="J13" s="1">
        <v>1</v>
      </c>
      <c r="K13" s="2">
        <v>1</v>
      </c>
      <c r="L13" s="1">
        <v>1</v>
      </c>
      <c r="M13" s="1">
        <v>0</v>
      </c>
      <c r="N13" s="1">
        <v>1</v>
      </c>
      <c r="O13" s="1">
        <v>1</v>
      </c>
      <c r="P13" s="1">
        <v>0</v>
      </c>
      <c r="Q13" s="1">
        <v>1</v>
      </c>
      <c r="R13" s="1">
        <v>1</v>
      </c>
      <c r="S13" s="1">
        <v>1</v>
      </c>
      <c r="T13" s="2">
        <v>0</v>
      </c>
      <c r="U13" s="2">
        <v>0</v>
      </c>
      <c r="V13" s="2">
        <v>0</v>
      </c>
      <c r="W13" s="1">
        <f t="shared" si="0"/>
        <v>6</v>
      </c>
      <c r="X13" s="1">
        <f t="shared" si="1"/>
        <v>3</v>
      </c>
      <c r="Y13" s="1">
        <f t="shared" si="2"/>
        <v>2</v>
      </c>
      <c r="Z13" s="1">
        <f t="shared" si="3"/>
        <v>11</v>
      </c>
      <c r="AA13" s="1">
        <f t="shared" si="6"/>
        <v>4.2857142857142856</v>
      </c>
      <c r="AB13" s="1">
        <f t="shared" si="4"/>
        <v>3</v>
      </c>
      <c r="AC13" s="1">
        <f t="shared" si="7"/>
        <v>1.4285714285714284</v>
      </c>
      <c r="AD13" s="1">
        <f t="shared" si="5"/>
        <v>2.9047619047619047</v>
      </c>
      <c r="AF13" s="4"/>
    </row>
    <row r="14" spans="1:32" x14ac:dyDescent="0.3">
      <c r="B14" s="74" t="s">
        <v>96</v>
      </c>
      <c r="C14" s="74">
        <v>5</v>
      </c>
      <c r="D14" s="22"/>
      <c r="E14" s="3" t="s">
        <v>43</v>
      </c>
      <c r="F14" s="1">
        <v>1</v>
      </c>
      <c r="G14" s="1">
        <v>1</v>
      </c>
      <c r="H14" s="1">
        <v>1</v>
      </c>
      <c r="I14" s="1">
        <v>0</v>
      </c>
      <c r="J14" s="1">
        <v>1</v>
      </c>
      <c r="K14" s="2">
        <v>1</v>
      </c>
      <c r="L14" s="1">
        <v>0</v>
      </c>
      <c r="M14" s="1">
        <v>0</v>
      </c>
      <c r="N14" s="1">
        <v>0</v>
      </c>
      <c r="O14" s="1">
        <v>1</v>
      </c>
      <c r="P14" s="1">
        <v>0</v>
      </c>
      <c r="Q14" s="1">
        <v>0</v>
      </c>
      <c r="R14" s="1">
        <v>0</v>
      </c>
      <c r="S14" s="1">
        <v>1</v>
      </c>
      <c r="T14" s="2">
        <v>0</v>
      </c>
      <c r="U14" s="2">
        <v>0</v>
      </c>
      <c r="V14" s="2">
        <v>0</v>
      </c>
      <c r="W14" s="1">
        <f t="shared" si="0"/>
        <v>4</v>
      </c>
      <c r="X14" s="1">
        <f t="shared" si="1"/>
        <v>1</v>
      </c>
      <c r="Y14" s="1">
        <f t="shared" si="2"/>
        <v>1</v>
      </c>
      <c r="Z14" s="1">
        <f t="shared" si="3"/>
        <v>6</v>
      </c>
      <c r="AA14" s="1">
        <f t="shared" si="6"/>
        <v>2.8571428571428568</v>
      </c>
      <c r="AB14" s="1">
        <f t="shared" si="4"/>
        <v>1</v>
      </c>
      <c r="AC14" s="1">
        <f t="shared" si="7"/>
        <v>0.71428571428571419</v>
      </c>
      <c r="AD14" s="1">
        <f t="shared" si="5"/>
        <v>1.5238095238095237</v>
      </c>
      <c r="AF14" s="5"/>
    </row>
    <row r="15" spans="1:32" x14ac:dyDescent="0.3">
      <c r="B15" s="74"/>
      <c r="C15" s="74"/>
      <c r="D15" s="22"/>
      <c r="E15" s="3" t="s">
        <v>48</v>
      </c>
      <c r="F15" s="1">
        <v>0</v>
      </c>
      <c r="G15" s="1">
        <v>1</v>
      </c>
      <c r="H15" s="1">
        <v>1</v>
      </c>
      <c r="I15" s="1">
        <v>0</v>
      </c>
      <c r="J15" s="1">
        <v>0</v>
      </c>
      <c r="K15" s="2">
        <v>0</v>
      </c>
      <c r="L15" s="1">
        <v>0</v>
      </c>
      <c r="M15" s="1">
        <v>0</v>
      </c>
      <c r="N15" s="1">
        <v>1</v>
      </c>
      <c r="O15" s="2">
        <v>0</v>
      </c>
      <c r="P15" s="1">
        <v>0</v>
      </c>
      <c r="Q15" s="1">
        <v>0</v>
      </c>
      <c r="R15" s="1">
        <v>0</v>
      </c>
      <c r="S15" s="1">
        <v>0</v>
      </c>
      <c r="T15" s="2">
        <v>0</v>
      </c>
      <c r="U15" s="2">
        <v>1</v>
      </c>
      <c r="V15" s="2">
        <v>1</v>
      </c>
      <c r="W15" s="1">
        <f t="shared" si="0"/>
        <v>2</v>
      </c>
      <c r="X15" s="1">
        <f t="shared" si="1"/>
        <v>1</v>
      </c>
      <c r="Y15" s="1">
        <f t="shared" si="2"/>
        <v>2</v>
      </c>
      <c r="Z15" s="1">
        <f t="shared" si="3"/>
        <v>5</v>
      </c>
      <c r="AA15" s="1">
        <f t="shared" si="6"/>
        <v>1.4285714285714284</v>
      </c>
      <c r="AB15" s="1">
        <f t="shared" si="4"/>
        <v>1</v>
      </c>
      <c r="AC15" s="1">
        <f t="shared" si="7"/>
        <v>1.4285714285714284</v>
      </c>
      <c r="AD15" s="1">
        <f t="shared" si="5"/>
        <v>1.2857142857142856</v>
      </c>
      <c r="AF15" s="4"/>
    </row>
    <row r="16" spans="1:32" x14ac:dyDescent="0.3">
      <c r="B16" s="74" t="s">
        <v>97</v>
      </c>
      <c r="C16" s="74">
        <v>6</v>
      </c>
      <c r="D16" s="22"/>
      <c r="E16" s="3" t="s">
        <v>43</v>
      </c>
      <c r="F16" s="1">
        <v>2</v>
      </c>
      <c r="G16" s="1">
        <v>0</v>
      </c>
      <c r="H16" s="1">
        <v>1</v>
      </c>
      <c r="I16" s="1">
        <v>0</v>
      </c>
      <c r="J16" s="1">
        <v>1</v>
      </c>
      <c r="K16" s="2">
        <v>0</v>
      </c>
      <c r="L16" s="1">
        <v>0</v>
      </c>
      <c r="M16" s="1">
        <v>0</v>
      </c>
      <c r="N16" s="1">
        <v>0</v>
      </c>
      <c r="O16" s="1">
        <v>0</v>
      </c>
      <c r="P16" s="1">
        <v>0</v>
      </c>
      <c r="Q16" s="1">
        <v>0</v>
      </c>
      <c r="R16" s="1">
        <v>0</v>
      </c>
      <c r="S16" s="1">
        <v>0</v>
      </c>
      <c r="T16" s="2">
        <v>0</v>
      </c>
      <c r="U16" s="2">
        <v>0</v>
      </c>
      <c r="V16" s="2">
        <v>1</v>
      </c>
      <c r="W16" s="1">
        <f t="shared" si="0"/>
        <v>2</v>
      </c>
      <c r="X16" s="1">
        <f t="shared" si="1"/>
        <v>0</v>
      </c>
      <c r="Y16" s="1">
        <f t="shared" si="2"/>
        <v>1</v>
      </c>
      <c r="Z16" s="1">
        <f t="shared" si="3"/>
        <v>3</v>
      </c>
      <c r="AA16" s="1">
        <f t="shared" si="6"/>
        <v>1.4285714285714284</v>
      </c>
      <c r="AB16" s="1">
        <f t="shared" si="4"/>
        <v>0</v>
      </c>
      <c r="AC16" s="1">
        <f t="shared" si="7"/>
        <v>0.71428571428571419</v>
      </c>
      <c r="AD16" s="1">
        <f t="shared" si="5"/>
        <v>0.71428571428571408</v>
      </c>
      <c r="AF16" s="4"/>
    </row>
    <row r="17" spans="2:32" x14ac:dyDescent="0.3">
      <c r="B17" s="74"/>
      <c r="C17" s="74"/>
      <c r="D17" s="22"/>
      <c r="E17" s="3" t="s">
        <v>48</v>
      </c>
      <c r="F17" s="1">
        <v>2</v>
      </c>
      <c r="G17" s="1">
        <v>0</v>
      </c>
      <c r="H17" s="1">
        <v>1</v>
      </c>
      <c r="I17" s="1">
        <v>0</v>
      </c>
      <c r="J17" s="1">
        <v>1</v>
      </c>
      <c r="K17" s="2">
        <v>0</v>
      </c>
      <c r="L17" s="1">
        <v>0</v>
      </c>
      <c r="M17" s="1">
        <v>0</v>
      </c>
      <c r="N17" s="1">
        <v>0</v>
      </c>
      <c r="O17" s="1">
        <v>0</v>
      </c>
      <c r="P17" s="1">
        <v>0</v>
      </c>
      <c r="Q17" s="1">
        <v>0</v>
      </c>
      <c r="R17" s="1">
        <v>0</v>
      </c>
      <c r="S17" s="1">
        <v>0</v>
      </c>
      <c r="T17" s="2">
        <v>0</v>
      </c>
      <c r="U17" s="2">
        <v>0</v>
      </c>
      <c r="V17" s="2">
        <v>1</v>
      </c>
      <c r="W17" s="1">
        <f t="shared" si="0"/>
        <v>2</v>
      </c>
      <c r="X17" s="1">
        <f t="shared" si="1"/>
        <v>0</v>
      </c>
      <c r="Y17" s="1">
        <f t="shared" si="2"/>
        <v>1</v>
      </c>
      <c r="Z17" s="1">
        <f t="shared" si="3"/>
        <v>3</v>
      </c>
      <c r="AA17" s="1">
        <f t="shared" si="6"/>
        <v>1.4285714285714284</v>
      </c>
      <c r="AB17" s="1">
        <f t="shared" si="4"/>
        <v>0</v>
      </c>
      <c r="AC17" s="1">
        <f t="shared" si="7"/>
        <v>0.71428571428571419</v>
      </c>
      <c r="AD17" s="1">
        <f t="shared" si="5"/>
        <v>0.71428571428571408</v>
      </c>
      <c r="AF17" s="4"/>
    </row>
    <row r="18" spans="2:32" x14ac:dyDescent="0.3">
      <c r="B18" s="74" t="s">
        <v>107</v>
      </c>
      <c r="C18" s="74">
        <v>15</v>
      </c>
      <c r="D18" s="22"/>
      <c r="E18" s="3" t="s">
        <v>43</v>
      </c>
      <c r="F18" s="1">
        <v>1</v>
      </c>
      <c r="G18" s="1">
        <v>1</v>
      </c>
      <c r="H18" s="1">
        <v>1</v>
      </c>
      <c r="I18" s="1">
        <v>1</v>
      </c>
      <c r="J18" s="1">
        <v>0</v>
      </c>
      <c r="K18" s="2">
        <v>0</v>
      </c>
      <c r="L18" s="1">
        <v>0</v>
      </c>
      <c r="M18" s="1">
        <v>0</v>
      </c>
      <c r="N18" s="2">
        <v>1</v>
      </c>
      <c r="O18" s="2">
        <v>0</v>
      </c>
      <c r="P18" s="1">
        <v>0</v>
      </c>
      <c r="Q18" s="1">
        <v>0</v>
      </c>
      <c r="R18" s="2">
        <v>0</v>
      </c>
      <c r="S18" s="1">
        <v>1</v>
      </c>
      <c r="T18" s="2">
        <v>0</v>
      </c>
      <c r="U18" s="2">
        <v>1</v>
      </c>
      <c r="V18" s="2">
        <v>1</v>
      </c>
      <c r="W18" s="1">
        <f t="shared" si="0"/>
        <v>3</v>
      </c>
      <c r="X18" s="1">
        <f t="shared" si="1"/>
        <v>1</v>
      </c>
      <c r="Y18" s="1">
        <f t="shared" si="2"/>
        <v>3</v>
      </c>
      <c r="Z18" s="1">
        <f t="shared" si="3"/>
        <v>7</v>
      </c>
      <c r="AA18" s="1">
        <f t="shared" si="6"/>
        <v>2.1428571428571428</v>
      </c>
      <c r="AB18" s="1">
        <f t="shared" si="4"/>
        <v>1</v>
      </c>
      <c r="AC18" s="1">
        <f t="shared" si="7"/>
        <v>2.1428571428571428</v>
      </c>
      <c r="AD18" s="1">
        <f t="shared" si="5"/>
        <v>1.7619047619047619</v>
      </c>
    </row>
    <row r="19" spans="2:32" x14ac:dyDescent="0.3">
      <c r="B19" s="74"/>
      <c r="C19" s="74"/>
      <c r="D19" s="22"/>
      <c r="E19" s="3" t="s">
        <v>48</v>
      </c>
      <c r="F19" s="1">
        <v>2</v>
      </c>
      <c r="G19" s="1">
        <v>1</v>
      </c>
      <c r="H19" s="1">
        <v>1</v>
      </c>
      <c r="I19" s="1">
        <v>1</v>
      </c>
      <c r="J19" s="1">
        <v>1</v>
      </c>
      <c r="K19" s="1">
        <v>0</v>
      </c>
      <c r="L19" s="1">
        <v>0</v>
      </c>
      <c r="M19" s="1">
        <v>0</v>
      </c>
      <c r="N19" s="1">
        <v>1</v>
      </c>
      <c r="O19" s="1">
        <v>0</v>
      </c>
      <c r="P19" s="1">
        <v>0</v>
      </c>
      <c r="Q19" s="1">
        <v>0</v>
      </c>
      <c r="R19" s="1">
        <v>0</v>
      </c>
      <c r="S19" s="1">
        <v>1</v>
      </c>
      <c r="T19" s="1">
        <v>0</v>
      </c>
      <c r="U19" s="1">
        <v>0</v>
      </c>
      <c r="V19" s="2">
        <v>1</v>
      </c>
      <c r="W19" s="1">
        <f t="shared" si="0"/>
        <v>4</v>
      </c>
      <c r="X19" s="1">
        <f t="shared" si="1"/>
        <v>1</v>
      </c>
      <c r="Y19" s="1">
        <f t="shared" si="2"/>
        <v>2</v>
      </c>
      <c r="Z19" s="1">
        <f t="shared" si="3"/>
        <v>7</v>
      </c>
      <c r="AA19" s="1">
        <f t="shared" si="6"/>
        <v>2.8571428571428568</v>
      </c>
      <c r="AB19" s="1">
        <f t="shared" si="4"/>
        <v>1</v>
      </c>
      <c r="AC19" s="1">
        <f t="shared" si="7"/>
        <v>1.4285714285714284</v>
      </c>
      <c r="AD19" s="1">
        <f t="shared" si="5"/>
        <v>1.7619047619047616</v>
      </c>
    </row>
    <row r="20" spans="2:32" x14ac:dyDescent="0.3">
      <c r="B20" s="74" t="s">
        <v>108</v>
      </c>
      <c r="C20" s="74">
        <v>16</v>
      </c>
      <c r="D20" s="22"/>
      <c r="E20" s="3" t="s">
        <v>43</v>
      </c>
      <c r="F20" s="1">
        <v>1</v>
      </c>
      <c r="G20" s="1">
        <v>1</v>
      </c>
      <c r="H20" s="1">
        <v>0</v>
      </c>
      <c r="I20" s="1">
        <v>1</v>
      </c>
      <c r="J20" s="1">
        <v>1</v>
      </c>
      <c r="K20" s="1">
        <v>0</v>
      </c>
      <c r="L20" s="1">
        <v>0</v>
      </c>
      <c r="M20" s="1">
        <v>1</v>
      </c>
      <c r="N20" s="1">
        <v>1</v>
      </c>
      <c r="O20" s="1">
        <v>0</v>
      </c>
      <c r="P20" s="1">
        <v>0</v>
      </c>
      <c r="Q20" s="1">
        <v>0</v>
      </c>
      <c r="R20" s="1">
        <v>0</v>
      </c>
      <c r="S20" s="1">
        <v>0</v>
      </c>
      <c r="T20" s="1">
        <v>0</v>
      </c>
      <c r="U20" s="1">
        <v>1</v>
      </c>
      <c r="V20" s="2">
        <v>1</v>
      </c>
      <c r="W20" s="1">
        <f t="shared" si="0"/>
        <v>3</v>
      </c>
      <c r="X20" s="1">
        <f t="shared" si="1"/>
        <v>2</v>
      </c>
      <c r="Y20" s="1">
        <f t="shared" si="2"/>
        <v>2</v>
      </c>
      <c r="Z20" s="1">
        <f t="shared" si="3"/>
        <v>7</v>
      </c>
      <c r="AA20" s="1">
        <f t="shared" si="6"/>
        <v>2.1428571428571428</v>
      </c>
      <c r="AB20" s="1">
        <f t="shared" si="4"/>
        <v>2</v>
      </c>
      <c r="AC20" s="1">
        <f t="shared" si="7"/>
        <v>1.4285714285714284</v>
      </c>
      <c r="AD20" s="1">
        <f t="shared" si="5"/>
        <v>1.857142857142857</v>
      </c>
    </row>
    <row r="21" spans="2:32" x14ac:dyDescent="0.3">
      <c r="B21" s="74"/>
      <c r="C21" s="74"/>
      <c r="D21" s="22"/>
      <c r="E21" s="3" t="s">
        <v>48</v>
      </c>
      <c r="F21" s="1">
        <v>0</v>
      </c>
      <c r="G21" s="1">
        <v>0</v>
      </c>
      <c r="H21" s="1">
        <v>0</v>
      </c>
      <c r="I21" s="1">
        <v>0</v>
      </c>
      <c r="J21" s="1">
        <v>1</v>
      </c>
      <c r="K21" s="1">
        <v>0</v>
      </c>
      <c r="L21" s="1">
        <v>0</v>
      </c>
      <c r="M21" s="1">
        <v>0</v>
      </c>
      <c r="N21" s="1">
        <v>0</v>
      </c>
      <c r="O21" s="1">
        <v>0</v>
      </c>
      <c r="P21" s="1">
        <v>0</v>
      </c>
      <c r="Q21" s="1">
        <v>0</v>
      </c>
      <c r="R21" s="1">
        <v>0</v>
      </c>
      <c r="S21" s="1">
        <v>0</v>
      </c>
      <c r="T21" s="1">
        <v>0</v>
      </c>
      <c r="U21" s="1">
        <v>0</v>
      </c>
      <c r="V21" s="2">
        <v>0</v>
      </c>
      <c r="W21" s="1">
        <f t="shared" si="0"/>
        <v>1</v>
      </c>
      <c r="X21" s="1">
        <f t="shared" si="1"/>
        <v>0</v>
      </c>
      <c r="Y21" s="1">
        <f t="shared" si="2"/>
        <v>0</v>
      </c>
      <c r="Z21" s="1">
        <f t="shared" si="3"/>
        <v>1</v>
      </c>
      <c r="AA21" s="1">
        <f t="shared" si="6"/>
        <v>0.71428571428571419</v>
      </c>
      <c r="AB21" s="1">
        <f t="shared" si="4"/>
        <v>0</v>
      </c>
      <c r="AC21" s="1">
        <f t="shared" si="7"/>
        <v>0</v>
      </c>
      <c r="AD21" s="1">
        <f t="shared" si="5"/>
        <v>0.23809523809523805</v>
      </c>
    </row>
    <row r="22" spans="2:32" x14ac:dyDescent="0.3">
      <c r="B22" s="74" t="s">
        <v>109</v>
      </c>
      <c r="C22" s="74">
        <v>17</v>
      </c>
      <c r="D22" s="22"/>
      <c r="E22" s="3" t="s">
        <v>43</v>
      </c>
      <c r="F22" s="1">
        <v>2</v>
      </c>
      <c r="G22" s="1">
        <v>0</v>
      </c>
      <c r="H22" s="1">
        <v>1</v>
      </c>
      <c r="I22" s="1">
        <v>0</v>
      </c>
      <c r="J22" s="1">
        <v>1</v>
      </c>
      <c r="K22" s="1">
        <v>0</v>
      </c>
      <c r="L22" s="1">
        <v>0</v>
      </c>
      <c r="M22" s="1">
        <v>0</v>
      </c>
      <c r="N22" s="1">
        <v>0</v>
      </c>
      <c r="O22" s="1">
        <v>0</v>
      </c>
      <c r="P22" s="1">
        <v>0</v>
      </c>
      <c r="Q22" s="1">
        <v>0</v>
      </c>
      <c r="R22" s="1">
        <v>0</v>
      </c>
      <c r="S22" s="1">
        <v>1</v>
      </c>
      <c r="T22" s="1">
        <v>0</v>
      </c>
      <c r="U22" s="1">
        <v>0</v>
      </c>
      <c r="V22" s="2">
        <v>1</v>
      </c>
      <c r="W22" s="1">
        <f t="shared" si="0"/>
        <v>2</v>
      </c>
      <c r="X22" s="1">
        <f t="shared" si="1"/>
        <v>0</v>
      </c>
      <c r="Y22" s="1">
        <f t="shared" si="2"/>
        <v>2</v>
      </c>
      <c r="Z22" s="1">
        <f t="shared" si="3"/>
        <v>4</v>
      </c>
      <c r="AA22" s="1">
        <f t="shared" si="6"/>
        <v>1.4285714285714284</v>
      </c>
      <c r="AB22" s="1">
        <f t="shared" si="4"/>
        <v>0</v>
      </c>
      <c r="AC22" s="1">
        <f t="shared" si="7"/>
        <v>1.4285714285714284</v>
      </c>
      <c r="AD22" s="1">
        <f t="shared" si="5"/>
        <v>0.95238095238095222</v>
      </c>
    </row>
    <row r="23" spans="2:32" x14ac:dyDescent="0.3">
      <c r="B23" s="74"/>
      <c r="C23" s="74"/>
      <c r="D23" s="22"/>
      <c r="E23" s="3" t="s">
        <v>48</v>
      </c>
      <c r="F23" s="1">
        <v>2</v>
      </c>
      <c r="G23" s="1">
        <v>1</v>
      </c>
      <c r="H23" s="1">
        <v>1</v>
      </c>
      <c r="I23" s="1">
        <v>0</v>
      </c>
      <c r="J23" s="1">
        <v>1</v>
      </c>
      <c r="K23" s="1">
        <v>1</v>
      </c>
      <c r="L23" s="1">
        <v>0</v>
      </c>
      <c r="M23" s="1">
        <v>0</v>
      </c>
      <c r="N23" s="1">
        <v>0</v>
      </c>
      <c r="O23" s="1">
        <v>1</v>
      </c>
      <c r="P23" s="1">
        <v>0</v>
      </c>
      <c r="Q23" s="1">
        <v>0</v>
      </c>
      <c r="R23" s="1">
        <v>0</v>
      </c>
      <c r="S23" s="1">
        <v>1</v>
      </c>
      <c r="T23" s="1">
        <v>0</v>
      </c>
      <c r="U23" s="1">
        <v>0</v>
      </c>
      <c r="V23" s="2">
        <v>1</v>
      </c>
      <c r="W23" s="1">
        <f t="shared" si="0"/>
        <v>4</v>
      </c>
      <c r="X23" s="1">
        <f t="shared" si="1"/>
        <v>1</v>
      </c>
      <c r="Y23" s="1">
        <f t="shared" si="2"/>
        <v>2</v>
      </c>
      <c r="Z23" s="1">
        <f t="shared" si="3"/>
        <v>7</v>
      </c>
      <c r="AA23" s="1">
        <f t="shared" si="6"/>
        <v>2.8571428571428568</v>
      </c>
      <c r="AB23" s="1">
        <f t="shared" si="4"/>
        <v>1</v>
      </c>
      <c r="AC23" s="1">
        <f t="shared" si="7"/>
        <v>1.4285714285714284</v>
      </c>
      <c r="AD23" s="1">
        <f t="shared" si="5"/>
        <v>1.7619047619047616</v>
      </c>
    </row>
    <row r="24" spans="2:32" x14ac:dyDescent="0.3">
      <c r="B24" s="74" t="s">
        <v>110</v>
      </c>
      <c r="C24" s="74">
        <v>18</v>
      </c>
      <c r="D24" s="22"/>
      <c r="E24" s="3" t="s">
        <v>43</v>
      </c>
      <c r="F24" s="1">
        <v>1</v>
      </c>
      <c r="G24" s="1">
        <v>1</v>
      </c>
      <c r="H24" s="1">
        <v>1</v>
      </c>
      <c r="I24" s="1">
        <v>1</v>
      </c>
      <c r="J24" s="1">
        <v>0</v>
      </c>
      <c r="K24" s="1">
        <v>0</v>
      </c>
      <c r="L24" s="1">
        <v>0</v>
      </c>
      <c r="M24" s="1">
        <v>0</v>
      </c>
      <c r="N24" s="1">
        <v>1</v>
      </c>
      <c r="O24" s="1">
        <v>0</v>
      </c>
      <c r="P24" s="1">
        <v>0</v>
      </c>
      <c r="Q24" s="1">
        <v>0</v>
      </c>
      <c r="R24" s="1">
        <v>0</v>
      </c>
      <c r="S24" s="1">
        <v>1</v>
      </c>
      <c r="T24" s="1">
        <v>0</v>
      </c>
      <c r="U24" s="1">
        <v>1</v>
      </c>
      <c r="V24" s="2">
        <v>0</v>
      </c>
      <c r="W24" s="1">
        <f t="shared" si="0"/>
        <v>3</v>
      </c>
      <c r="X24" s="1">
        <f t="shared" si="1"/>
        <v>1</v>
      </c>
      <c r="Y24" s="1">
        <f t="shared" si="2"/>
        <v>2</v>
      </c>
      <c r="Z24" s="1">
        <f t="shared" si="3"/>
        <v>6</v>
      </c>
      <c r="AA24" s="1">
        <f t="shared" si="6"/>
        <v>2.1428571428571428</v>
      </c>
      <c r="AB24" s="1">
        <f t="shared" si="4"/>
        <v>1</v>
      </c>
      <c r="AC24" s="1">
        <f t="shared" si="7"/>
        <v>1.4285714285714284</v>
      </c>
      <c r="AD24" s="1">
        <f t="shared" si="5"/>
        <v>1.5238095238095237</v>
      </c>
    </row>
    <row r="25" spans="2:32" x14ac:dyDescent="0.3">
      <c r="B25" s="74"/>
      <c r="C25" s="74"/>
      <c r="D25" s="22"/>
      <c r="E25" s="3" t="s">
        <v>48</v>
      </c>
      <c r="F25" s="1">
        <v>1</v>
      </c>
      <c r="G25" s="1">
        <v>1</v>
      </c>
      <c r="H25" s="1">
        <v>1</v>
      </c>
      <c r="I25" s="1">
        <v>1</v>
      </c>
      <c r="J25" s="1">
        <v>0</v>
      </c>
      <c r="K25" s="1">
        <v>0</v>
      </c>
      <c r="L25" s="1">
        <v>0</v>
      </c>
      <c r="M25" s="1">
        <v>0</v>
      </c>
      <c r="N25" s="1">
        <v>1</v>
      </c>
      <c r="O25" s="1">
        <v>0</v>
      </c>
      <c r="P25" s="1">
        <v>0</v>
      </c>
      <c r="Q25" s="1">
        <v>0</v>
      </c>
      <c r="R25" s="1">
        <v>0</v>
      </c>
      <c r="S25" s="1">
        <v>1</v>
      </c>
      <c r="T25" s="1">
        <v>0</v>
      </c>
      <c r="U25" s="1">
        <v>1</v>
      </c>
      <c r="V25" s="2">
        <v>0</v>
      </c>
      <c r="W25" s="1">
        <f t="shared" ref="W25:W30" si="8">SUM(G25:L25)</f>
        <v>3</v>
      </c>
      <c r="X25" s="1">
        <f t="shared" ref="X25:X30" si="9">SUM(M25:Q25)</f>
        <v>1</v>
      </c>
      <c r="Y25" s="1">
        <f t="shared" ref="Y25:Y30" si="10">SUM(R25:V25)</f>
        <v>2</v>
      </c>
      <c r="Z25" s="1">
        <f t="shared" ref="Z25:Z30" si="11">SUM(W25:Y25)</f>
        <v>6</v>
      </c>
      <c r="AA25" s="1">
        <f t="shared" ref="AA25:AA30" si="12">W25/7*5</f>
        <v>2.1428571428571428</v>
      </c>
      <c r="AB25" s="1">
        <f t="shared" ref="AB25:AB30" si="13">X25/5*5</f>
        <v>1</v>
      </c>
      <c r="AC25" s="1">
        <f t="shared" ref="AC25:AC30" si="14" xml:space="preserve"> Y25/7*5</f>
        <v>1.4285714285714284</v>
      </c>
      <c r="AD25" s="1">
        <f t="shared" ref="AD25:AD30" si="15">SUM(AA25:AC25)/3</f>
        <v>1.5238095238095237</v>
      </c>
    </row>
    <row r="26" spans="2:32" x14ac:dyDescent="0.3">
      <c r="B26" s="74" t="s">
        <v>111</v>
      </c>
      <c r="C26" s="74">
        <v>19</v>
      </c>
      <c r="D26" s="22"/>
      <c r="E26" s="3" t="s">
        <v>43</v>
      </c>
      <c r="F26" s="1">
        <v>0</v>
      </c>
      <c r="G26" s="1">
        <v>1</v>
      </c>
      <c r="H26" s="1">
        <v>0</v>
      </c>
      <c r="I26" s="1">
        <v>0</v>
      </c>
      <c r="J26" s="1">
        <v>1</v>
      </c>
      <c r="K26" s="1">
        <v>0</v>
      </c>
      <c r="L26" s="1">
        <v>0</v>
      </c>
      <c r="M26" s="1">
        <v>1</v>
      </c>
      <c r="N26" s="1">
        <v>1</v>
      </c>
      <c r="O26" s="1">
        <v>0</v>
      </c>
      <c r="P26" s="1">
        <v>0</v>
      </c>
      <c r="Q26" s="1">
        <v>0</v>
      </c>
      <c r="R26" s="1">
        <v>0</v>
      </c>
      <c r="S26" s="1">
        <v>1</v>
      </c>
      <c r="T26" s="1">
        <v>0</v>
      </c>
      <c r="U26" s="1">
        <v>1</v>
      </c>
      <c r="V26" s="2">
        <v>1</v>
      </c>
      <c r="W26" s="1">
        <f t="shared" si="8"/>
        <v>2</v>
      </c>
      <c r="X26" s="1">
        <f t="shared" si="9"/>
        <v>2</v>
      </c>
      <c r="Y26" s="1">
        <f t="shared" si="10"/>
        <v>3</v>
      </c>
      <c r="Z26" s="1">
        <f t="shared" si="11"/>
        <v>7</v>
      </c>
      <c r="AA26" s="1">
        <f t="shared" si="12"/>
        <v>1.4285714285714284</v>
      </c>
      <c r="AB26" s="1">
        <f t="shared" si="13"/>
        <v>2</v>
      </c>
      <c r="AC26" s="1">
        <f t="shared" si="14"/>
        <v>2.1428571428571428</v>
      </c>
      <c r="AD26" s="1">
        <f t="shared" si="15"/>
        <v>1.857142857142857</v>
      </c>
    </row>
    <row r="27" spans="2:32" x14ac:dyDescent="0.3">
      <c r="B27" s="74"/>
      <c r="C27" s="74"/>
      <c r="D27" s="22"/>
      <c r="E27" s="3" t="s">
        <v>48</v>
      </c>
      <c r="F27" s="1">
        <v>2</v>
      </c>
      <c r="G27" s="1">
        <v>1</v>
      </c>
      <c r="H27" s="1">
        <v>1</v>
      </c>
      <c r="I27" s="1">
        <v>0</v>
      </c>
      <c r="J27" s="1">
        <v>1</v>
      </c>
      <c r="K27" s="1">
        <v>0</v>
      </c>
      <c r="L27" s="1">
        <v>0</v>
      </c>
      <c r="M27" s="1">
        <v>1</v>
      </c>
      <c r="N27" s="1">
        <v>1</v>
      </c>
      <c r="O27" s="1">
        <v>0</v>
      </c>
      <c r="P27" s="1">
        <v>0</v>
      </c>
      <c r="Q27" s="1">
        <v>0</v>
      </c>
      <c r="R27" s="1">
        <v>0</v>
      </c>
      <c r="S27" s="1">
        <v>1</v>
      </c>
      <c r="T27" s="1">
        <v>0</v>
      </c>
      <c r="U27" s="1">
        <v>1</v>
      </c>
      <c r="V27" s="2">
        <v>1</v>
      </c>
      <c r="W27" s="1">
        <f t="shared" si="8"/>
        <v>3</v>
      </c>
      <c r="X27" s="1">
        <f>SUM(M27:Q27)</f>
        <v>2</v>
      </c>
      <c r="Y27" s="1">
        <f t="shared" si="10"/>
        <v>3</v>
      </c>
      <c r="Z27" s="1">
        <f t="shared" si="11"/>
        <v>8</v>
      </c>
      <c r="AA27" s="1">
        <f t="shared" si="12"/>
        <v>2.1428571428571428</v>
      </c>
      <c r="AB27" s="1">
        <f t="shared" si="13"/>
        <v>2</v>
      </c>
      <c r="AC27" s="1">
        <f t="shared" si="14"/>
        <v>2.1428571428571428</v>
      </c>
      <c r="AD27" s="1">
        <f t="shared" si="15"/>
        <v>2.0952380952380949</v>
      </c>
    </row>
    <row r="28" spans="2:32" x14ac:dyDescent="0.3">
      <c r="B28" s="74" t="s">
        <v>99</v>
      </c>
      <c r="C28" s="74">
        <v>7</v>
      </c>
      <c r="D28" s="22"/>
      <c r="E28" s="3" t="s">
        <v>43</v>
      </c>
      <c r="F28" s="1">
        <v>2</v>
      </c>
      <c r="G28" s="1">
        <v>0</v>
      </c>
      <c r="H28" s="1">
        <v>1</v>
      </c>
      <c r="I28" s="1">
        <v>0</v>
      </c>
      <c r="J28" s="1">
        <v>1</v>
      </c>
      <c r="K28" s="1">
        <v>0</v>
      </c>
      <c r="L28" s="1">
        <v>0</v>
      </c>
      <c r="M28" s="1">
        <v>0</v>
      </c>
      <c r="N28" s="1">
        <v>0</v>
      </c>
      <c r="O28" s="1">
        <v>0</v>
      </c>
      <c r="P28" s="1">
        <v>0</v>
      </c>
      <c r="Q28" s="1">
        <v>0</v>
      </c>
      <c r="R28" s="1">
        <v>1</v>
      </c>
      <c r="S28" s="1">
        <v>0</v>
      </c>
      <c r="T28" s="1">
        <v>0</v>
      </c>
      <c r="U28" s="1">
        <v>0</v>
      </c>
      <c r="V28" s="2">
        <v>1</v>
      </c>
      <c r="W28" s="1">
        <f t="shared" si="8"/>
        <v>2</v>
      </c>
      <c r="X28" s="1">
        <f t="shared" si="9"/>
        <v>0</v>
      </c>
      <c r="Y28" s="1">
        <f t="shared" si="10"/>
        <v>2</v>
      </c>
      <c r="Z28" s="1">
        <f t="shared" si="11"/>
        <v>4</v>
      </c>
      <c r="AA28" s="1">
        <f t="shared" si="12"/>
        <v>1.4285714285714284</v>
      </c>
      <c r="AB28" s="1">
        <f t="shared" si="13"/>
        <v>0</v>
      </c>
      <c r="AC28" s="1">
        <f t="shared" si="14"/>
        <v>1.4285714285714284</v>
      </c>
      <c r="AD28" s="1">
        <f t="shared" si="15"/>
        <v>0.95238095238095222</v>
      </c>
    </row>
    <row r="29" spans="2:32" x14ac:dyDescent="0.3">
      <c r="B29" s="74"/>
      <c r="C29" s="74"/>
      <c r="D29" s="22"/>
      <c r="E29" s="3" t="s">
        <v>48</v>
      </c>
      <c r="F29" s="1">
        <v>2</v>
      </c>
      <c r="G29" s="1">
        <v>0</v>
      </c>
      <c r="H29" s="1">
        <v>1</v>
      </c>
      <c r="I29" s="1">
        <v>0</v>
      </c>
      <c r="J29" s="1">
        <v>1</v>
      </c>
      <c r="K29" s="1">
        <v>0</v>
      </c>
      <c r="L29" s="1">
        <v>0</v>
      </c>
      <c r="M29" s="1">
        <v>0</v>
      </c>
      <c r="N29" s="1">
        <v>0</v>
      </c>
      <c r="O29" s="1">
        <v>0</v>
      </c>
      <c r="P29" s="1">
        <v>0</v>
      </c>
      <c r="Q29" s="1">
        <v>0</v>
      </c>
      <c r="R29" s="1">
        <v>1</v>
      </c>
      <c r="S29" s="1">
        <v>0</v>
      </c>
      <c r="T29" s="1">
        <v>0</v>
      </c>
      <c r="U29" s="1">
        <v>0</v>
      </c>
      <c r="V29" s="2">
        <v>1</v>
      </c>
      <c r="W29" s="1">
        <f t="shared" si="8"/>
        <v>2</v>
      </c>
      <c r="X29" s="1">
        <f t="shared" si="9"/>
        <v>0</v>
      </c>
      <c r="Y29" s="1">
        <f t="shared" si="10"/>
        <v>2</v>
      </c>
      <c r="Z29" s="1">
        <f t="shared" si="11"/>
        <v>4</v>
      </c>
      <c r="AA29" s="1">
        <f t="shared" si="12"/>
        <v>1.4285714285714284</v>
      </c>
      <c r="AB29" s="1">
        <f t="shared" si="13"/>
        <v>0</v>
      </c>
      <c r="AC29" s="1">
        <f t="shared" si="14"/>
        <v>1.4285714285714284</v>
      </c>
      <c r="AD29" s="1">
        <f t="shared" si="15"/>
        <v>0.95238095238095222</v>
      </c>
    </row>
    <row r="30" spans="2:32" x14ac:dyDescent="0.3">
      <c r="B30" s="74" t="s">
        <v>100</v>
      </c>
      <c r="C30" s="74">
        <v>8</v>
      </c>
      <c r="D30" s="22"/>
      <c r="E30" s="3" t="s">
        <v>43</v>
      </c>
      <c r="F30" s="1">
        <v>0</v>
      </c>
      <c r="W30" s="1">
        <f t="shared" si="8"/>
        <v>0</v>
      </c>
      <c r="X30" s="1">
        <f t="shared" si="9"/>
        <v>0</v>
      </c>
      <c r="Y30" s="1">
        <f t="shared" si="10"/>
        <v>0</v>
      </c>
      <c r="Z30" s="1">
        <f t="shared" si="11"/>
        <v>0</v>
      </c>
      <c r="AA30" s="1">
        <f t="shared" si="12"/>
        <v>0</v>
      </c>
      <c r="AB30" s="1">
        <f t="shared" si="13"/>
        <v>0</v>
      </c>
      <c r="AC30" s="1">
        <f t="shared" si="14"/>
        <v>0</v>
      </c>
      <c r="AD30" s="1">
        <f t="shared" si="15"/>
        <v>0</v>
      </c>
    </row>
    <row r="31" spans="2:32" x14ac:dyDescent="0.3">
      <c r="B31" s="74"/>
      <c r="C31" s="74"/>
      <c r="D31" s="22"/>
      <c r="E31" s="3" t="s">
        <v>48</v>
      </c>
      <c r="F31" s="1">
        <v>3</v>
      </c>
      <c r="G31" s="1">
        <v>1</v>
      </c>
      <c r="H31" s="1">
        <v>1</v>
      </c>
      <c r="I31" s="1">
        <v>0</v>
      </c>
      <c r="J31" s="1">
        <v>1</v>
      </c>
      <c r="K31" s="1">
        <v>1</v>
      </c>
      <c r="L31" s="1">
        <v>0</v>
      </c>
      <c r="M31" s="1">
        <v>1</v>
      </c>
      <c r="N31" s="1">
        <v>0</v>
      </c>
      <c r="O31" s="1">
        <v>1</v>
      </c>
      <c r="P31" s="1">
        <v>0</v>
      </c>
      <c r="Q31" s="1">
        <v>0</v>
      </c>
      <c r="R31" s="1">
        <v>0</v>
      </c>
      <c r="S31" s="1">
        <v>1</v>
      </c>
      <c r="T31" s="1">
        <v>0</v>
      </c>
      <c r="U31" s="1">
        <v>0</v>
      </c>
      <c r="V31" s="2">
        <v>1</v>
      </c>
      <c r="W31" s="1">
        <f t="shared" ref="W31:W49" si="16">SUM(G31:L31)</f>
        <v>4</v>
      </c>
      <c r="X31" s="1">
        <f t="shared" ref="X31:X49" si="17">SUM(M31:Q31)</f>
        <v>2</v>
      </c>
      <c r="Y31" s="1">
        <f t="shared" ref="Y31:Y49" si="18">SUM(R31:V31)</f>
        <v>2</v>
      </c>
      <c r="Z31" s="1">
        <f t="shared" ref="Z31:Z49" si="19">SUM(W31:Y31)</f>
        <v>8</v>
      </c>
      <c r="AA31" s="1">
        <f t="shared" ref="AA31:AA87" si="20">W31/7*5</f>
        <v>2.8571428571428568</v>
      </c>
      <c r="AB31" s="1">
        <f t="shared" ref="AB31:AB87" si="21">X31/5*5</f>
        <v>2</v>
      </c>
      <c r="AC31" s="1">
        <f t="shared" ref="AC31:AC87" si="22" xml:space="preserve"> Y31/7*5</f>
        <v>1.4285714285714284</v>
      </c>
      <c r="AD31" s="1">
        <f t="shared" ref="AD31:AD87" si="23">SUM(AA31:AC31)/3</f>
        <v>2.0952380952380949</v>
      </c>
    </row>
    <row r="32" spans="2:32" x14ac:dyDescent="0.3">
      <c r="B32" s="74" t="s">
        <v>101</v>
      </c>
      <c r="C32" s="74">
        <v>9</v>
      </c>
      <c r="D32" s="22"/>
      <c r="E32" s="3" t="s">
        <v>43</v>
      </c>
      <c r="F32" s="1">
        <v>0</v>
      </c>
      <c r="W32" s="1">
        <f t="shared" si="16"/>
        <v>0</v>
      </c>
      <c r="X32" s="1">
        <f t="shared" si="17"/>
        <v>0</v>
      </c>
      <c r="Y32" s="1">
        <f t="shared" si="18"/>
        <v>0</v>
      </c>
      <c r="Z32" s="1">
        <f t="shared" si="19"/>
        <v>0</v>
      </c>
      <c r="AA32" s="1">
        <f t="shared" si="20"/>
        <v>0</v>
      </c>
      <c r="AB32" s="1">
        <f t="shared" si="21"/>
        <v>0</v>
      </c>
      <c r="AC32" s="1">
        <f t="shared" si="22"/>
        <v>0</v>
      </c>
      <c r="AD32" s="1">
        <f t="shared" si="23"/>
        <v>0</v>
      </c>
    </row>
    <row r="33" spans="2:30" x14ac:dyDescent="0.3">
      <c r="B33" s="74"/>
      <c r="C33" s="74"/>
      <c r="D33" s="22"/>
      <c r="E33" s="3" t="s">
        <v>48</v>
      </c>
      <c r="F33" s="1">
        <v>3</v>
      </c>
      <c r="G33" s="1">
        <v>1</v>
      </c>
      <c r="H33" s="1">
        <v>1</v>
      </c>
      <c r="I33" s="1">
        <v>0</v>
      </c>
      <c r="J33" s="1">
        <v>1</v>
      </c>
      <c r="K33" s="1">
        <v>1</v>
      </c>
      <c r="L33" s="1">
        <v>0</v>
      </c>
      <c r="M33" s="1">
        <v>1</v>
      </c>
      <c r="N33" s="1">
        <v>0</v>
      </c>
      <c r="O33" s="1">
        <v>1</v>
      </c>
      <c r="P33" s="1">
        <v>0</v>
      </c>
      <c r="Q33" s="1">
        <v>0</v>
      </c>
      <c r="R33" s="1">
        <v>0</v>
      </c>
      <c r="S33" s="1">
        <v>1</v>
      </c>
      <c r="T33" s="1">
        <v>0</v>
      </c>
      <c r="U33" s="1">
        <v>0</v>
      </c>
      <c r="V33" s="2">
        <v>1</v>
      </c>
      <c r="W33" s="1">
        <f t="shared" si="16"/>
        <v>4</v>
      </c>
      <c r="X33" s="1">
        <f t="shared" si="17"/>
        <v>2</v>
      </c>
      <c r="Y33" s="1">
        <f t="shared" si="18"/>
        <v>2</v>
      </c>
      <c r="Z33" s="1">
        <f t="shared" si="19"/>
        <v>8</v>
      </c>
      <c r="AA33" s="1">
        <f t="shared" si="20"/>
        <v>2.8571428571428568</v>
      </c>
      <c r="AB33" s="1">
        <f t="shared" si="21"/>
        <v>2</v>
      </c>
      <c r="AC33" s="1">
        <f t="shared" si="22"/>
        <v>1.4285714285714284</v>
      </c>
      <c r="AD33" s="1">
        <f t="shared" si="23"/>
        <v>2.0952380952380949</v>
      </c>
    </row>
    <row r="34" spans="2:30" x14ac:dyDescent="0.3">
      <c r="B34" s="74" t="s">
        <v>102</v>
      </c>
      <c r="C34" s="74">
        <v>10</v>
      </c>
      <c r="D34" s="22"/>
      <c r="E34" s="3" t="s">
        <v>43</v>
      </c>
      <c r="F34" s="1">
        <v>2</v>
      </c>
      <c r="G34" s="1">
        <v>1</v>
      </c>
      <c r="H34" s="1">
        <v>1</v>
      </c>
      <c r="I34" s="1">
        <v>0</v>
      </c>
      <c r="J34" s="1">
        <v>1</v>
      </c>
      <c r="K34" s="1">
        <v>1</v>
      </c>
      <c r="L34" s="1">
        <v>0</v>
      </c>
      <c r="M34" s="1">
        <v>0</v>
      </c>
      <c r="N34" s="1">
        <v>0</v>
      </c>
      <c r="O34" s="1">
        <v>0</v>
      </c>
      <c r="P34" s="1">
        <v>0</v>
      </c>
      <c r="Q34" s="1">
        <v>0</v>
      </c>
      <c r="R34" s="1">
        <v>0</v>
      </c>
      <c r="S34" s="1">
        <v>1</v>
      </c>
      <c r="T34" s="1">
        <v>0</v>
      </c>
      <c r="U34" s="1">
        <v>0</v>
      </c>
      <c r="V34" s="2">
        <v>1</v>
      </c>
      <c r="W34" s="1">
        <f t="shared" si="16"/>
        <v>4</v>
      </c>
      <c r="X34" s="1">
        <f t="shared" si="17"/>
        <v>0</v>
      </c>
      <c r="Y34" s="1">
        <f t="shared" si="18"/>
        <v>2</v>
      </c>
      <c r="Z34" s="1">
        <f t="shared" si="19"/>
        <v>6</v>
      </c>
      <c r="AA34" s="1">
        <f t="shared" si="20"/>
        <v>2.8571428571428568</v>
      </c>
      <c r="AB34" s="1">
        <f t="shared" si="21"/>
        <v>0</v>
      </c>
      <c r="AC34" s="1">
        <f t="shared" si="22"/>
        <v>1.4285714285714284</v>
      </c>
      <c r="AD34" s="1">
        <f t="shared" si="23"/>
        <v>1.4285714285714282</v>
      </c>
    </row>
    <row r="35" spans="2:30" x14ac:dyDescent="0.3">
      <c r="B35" s="74"/>
      <c r="C35" s="74"/>
      <c r="D35" s="22"/>
      <c r="E35" s="3" t="s">
        <v>48</v>
      </c>
      <c r="F35" s="1">
        <v>2</v>
      </c>
      <c r="G35" s="1">
        <v>1</v>
      </c>
      <c r="H35" s="1">
        <v>1</v>
      </c>
      <c r="I35" s="1">
        <v>0</v>
      </c>
      <c r="J35" s="1">
        <v>1</v>
      </c>
      <c r="K35" s="1">
        <v>1</v>
      </c>
      <c r="L35" s="1">
        <v>0</v>
      </c>
      <c r="M35" s="1">
        <v>0</v>
      </c>
      <c r="N35" s="1">
        <v>0</v>
      </c>
      <c r="O35" s="1">
        <v>0</v>
      </c>
      <c r="P35" s="1">
        <v>0</v>
      </c>
      <c r="Q35" s="1">
        <v>0</v>
      </c>
      <c r="R35" s="1">
        <v>0</v>
      </c>
      <c r="S35" s="1">
        <v>1</v>
      </c>
      <c r="T35" s="1">
        <v>0</v>
      </c>
      <c r="U35" s="1">
        <v>0</v>
      </c>
      <c r="V35" s="2">
        <v>1</v>
      </c>
      <c r="W35" s="1">
        <f t="shared" si="16"/>
        <v>4</v>
      </c>
      <c r="X35" s="1">
        <f t="shared" si="17"/>
        <v>0</v>
      </c>
      <c r="Y35" s="1">
        <f t="shared" si="18"/>
        <v>2</v>
      </c>
      <c r="Z35" s="1">
        <f t="shared" si="19"/>
        <v>6</v>
      </c>
      <c r="AA35" s="1">
        <f t="shared" si="20"/>
        <v>2.8571428571428568</v>
      </c>
      <c r="AB35" s="1">
        <f t="shared" si="21"/>
        <v>0</v>
      </c>
      <c r="AC35" s="1">
        <f t="shared" si="22"/>
        <v>1.4285714285714284</v>
      </c>
      <c r="AD35" s="1">
        <f t="shared" si="23"/>
        <v>1.4285714285714282</v>
      </c>
    </row>
    <row r="36" spans="2:30" x14ac:dyDescent="0.3">
      <c r="B36" s="74" t="s">
        <v>103</v>
      </c>
      <c r="C36" s="74">
        <v>11</v>
      </c>
      <c r="D36" s="22"/>
      <c r="E36" s="3" t="s">
        <v>43</v>
      </c>
      <c r="F36" s="1">
        <v>1</v>
      </c>
      <c r="G36" s="1">
        <v>1</v>
      </c>
      <c r="H36" s="1">
        <v>1</v>
      </c>
      <c r="I36" s="1">
        <v>1</v>
      </c>
      <c r="J36" s="1">
        <v>0</v>
      </c>
      <c r="K36" s="1">
        <v>0</v>
      </c>
      <c r="L36" s="1">
        <v>0</v>
      </c>
      <c r="M36" s="1">
        <v>0</v>
      </c>
      <c r="N36" s="1">
        <v>1</v>
      </c>
      <c r="O36" s="1">
        <v>0</v>
      </c>
      <c r="P36" s="1">
        <v>0</v>
      </c>
      <c r="Q36" s="1">
        <v>0</v>
      </c>
      <c r="R36" s="1">
        <v>0</v>
      </c>
      <c r="S36" s="1">
        <v>1</v>
      </c>
      <c r="T36" s="1">
        <v>0</v>
      </c>
      <c r="U36" s="1">
        <v>1</v>
      </c>
      <c r="V36" s="2">
        <v>1</v>
      </c>
      <c r="W36" s="1">
        <f t="shared" si="16"/>
        <v>3</v>
      </c>
      <c r="X36" s="1">
        <f t="shared" si="17"/>
        <v>1</v>
      </c>
      <c r="Y36" s="1">
        <f t="shared" si="18"/>
        <v>3</v>
      </c>
      <c r="Z36" s="1">
        <f t="shared" si="19"/>
        <v>7</v>
      </c>
      <c r="AA36" s="1">
        <f t="shared" si="20"/>
        <v>2.1428571428571428</v>
      </c>
      <c r="AB36" s="1">
        <f t="shared" si="21"/>
        <v>1</v>
      </c>
      <c r="AC36" s="1">
        <f t="shared" si="22"/>
        <v>2.1428571428571428</v>
      </c>
      <c r="AD36" s="1">
        <f t="shared" si="23"/>
        <v>1.7619047619047619</v>
      </c>
    </row>
    <row r="37" spans="2:30" x14ac:dyDescent="0.3">
      <c r="B37" s="74"/>
      <c r="C37" s="74"/>
      <c r="D37" s="22"/>
      <c r="E37" s="3" t="s">
        <v>48</v>
      </c>
      <c r="F37" s="1">
        <v>1</v>
      </c>
      <c r="G37" s="1">
        <v>1</v>
      </c>
      <c r="H37" s="1">
        <v>1</v>
      </c>
      <c r="I37" s="1">
        <v>1</v>
      </c>
      <c r="J37" s="1">
        <v>0</v>
      </c>
      <c r="K37" s="1">
        <v>0</v>
      </c>
      <c r="L37" s="1">
        <v>0</v>
      </c>
      <c r="M37" s="1">
        <v>0</v>
      </c>
      <c r="N37" s="1">
        <v>1</v>
      </c>
      <c r="O37" s="1">
        <v>0</v>
      </c>
      <c r="P37" s="1">
        <v>0</v>
      </c>
      <c r="Q37" s="1">
        <v>0</v>
      </c>
      <c r="R37" s="1">
        <v>0</v>
      </c>
      <c r="S37" s="1">
        <v>1</v>
      </c>
      <c r="T37" s="1">
        <v>0</v>
      </c>
      <c r="U37" s="1">
        <v>1</v>
      </c>
      <c r="V37" s="2">
        <v>1</v>
      </c>
      <c r="W37" s="1">
        <f t="shared" si="16"/>
        <v>3</v>
      </c>
      <c r="X37" s="1">
        <f t="shared" si="17"/>
        <v>1</v>
      </c>
      <c r="Y37" s="1">
        <f t="shared" si="18"/>
        <v>3</v>
      </c>
      <c r="Z37" s="1">
        <f t="shared" si="19"/>
        <v>7</v>
      </c>
      <c r="AA37" s="1">
        <f t="shared" si="20"/>
        <v>2.1428571428571428</v>
      </c>
      <c r="AB37" s="1">
        <f t="shared" si="21"/>
        <v>1</v>
      </c>
      <c r="AC37" s="1">
        <f t="shared" si="22"/>
        <v>2.1428571428571428</v>
      </c>
      <c r="AD37" s="1">
        <f t="shared" si="23"/>
        <v>1.7619047619047619</v>
      </c>
    </row>
    <row r="38" spans="2:30" x14ac:dyDescent="0.3">
      <c r="B38" s="74" t="s">
        <v>104</v>
      </c>
      <c r="C38" s="74">
        <v>12</v>
      </c>
      <c r="D38" s="22"/>
      <c r="E38" s="3" t="s">
        <v>43</v>
      </c>
      <c r="F38" s="1">
        <v>1</v>
      </c>
      <c r="G38" s="1">
        <v>1</v>
      </c>
      <c r="H38" s="1">
        <v>1</v>
      </c>
      <c r="I38" s="1">
        <v>0</v>
      </c>
      <c r="J38" s="1">
        <v>0</v>
      </c>
      <c r="K38" s="1">
        <v>0</v>
      </c>
      <c r="L38" s="1">
        <v>0</v>
      </c>
      <c r="M38" s="1">
        <v>0</v>
      </c>
      <c r="N38" s="1">
        <v>1</v>
      </c>
      <c r="O38" s="1">
        <v>0</v>
      </c>
      <c r="P38" s="1">
        <v>1</v>
      </c>
      <c r="Q38" s="1">
        <v>0</v>
      </c>
      <c r="R38" s="1">
        <v>0</v>
      </c>
      <c r="S38" s="1">
        <v>1</v>
      </c>
      <c r="T38" s="1">
        <v>0</v>
      </c>
      <c r="U38" s="1">
        <v>1</v>
      </c>
      <c r="V38" s="2">
        <v>1</v>
      </c>
      <c r="W38" s="1">
        <f t="shared" si="16"/>
        <v>2</v>
      </c>
      <c r="X38" s="1">
        <f t="shared" si="17"/>
        <v>2</v>
      </c>
      <c r="Y38" s="1">
        <f t="shared" si="18"/>
        <v>3</v>
      </c>
      <c r="Z38" s="1">
        <f t="shared" si="19"/>
        <v>7</v>
      </c>
      <c r="AA38" s="1">
        <f t="shared" si="20"/>
        <v>1.4285714285714284</v>
      </c>
      <c r="AB38" s="1">
        <f t="shared" si="21"/>
        <v>2</v>
      </c>
      <c r="AC38" s="1">
        <f t="shared" si="22"/>
        <v>2.1428571428571428</v>
      </c>
      <c r="AD38" s="1">
        <f t="shared" si="23"/>
        <v>1.857142857142857</v>
      </c>
    </row>
    <row r="39" spans="2:30" x14ac:dyDescent="0.3">
      <c r="B39" s="74"/>
      <c r="C39" s="74"/>
      <c r="D39" s="22"/>
      <c r="E39" s="3" t="s">
        <v>48</v>
      </c>
      <c r="F39" s="1">
        <v>1</v>
      </c>
      <c r="G39" s="1">
        <v>1</v>
      </c>
      <c r="H39" s="1">
        <v>1</v>
      </c>
      <c r="I39" s="1">
        <v>0</v>
      </c>
      <c r="J39" s="1">
        <v>0</v>
      </c>
      <c r="K39" s="1">
        <v>0</v>
      </c>
      <c r="L39" s="1">
        <v>0</v>
      </c>
      <c r="M39" s="1">
        <v>0</v>
      </c>
      <c r="N39" s="1">
        <v>1</v>
      </c>
      <c r="O39" s="1">
        <v>0</v>
      </c>
      <c r="P39" s="1">
        <v>1</v>
      </c>
      <c r="Q39" s="1">
        <v>0</v>
      </c>
      <c r="R39" s="1">
        <v>0</v>
      </c>
      <c r="S39" s="1">
        <v>1</v>
      </c>
      <c r="T39" s="1">
        <v>0</v>
      </c>
      <c r="U39" s="1">
        <v>1</v>
      </c>
      <c r="V39" s="2">
        <v>1</v>
      </c>
      <c r="W39" s="1">
        <f t="shared" si="16"/>
        <v>2</v>
      </c>
      <c r="X39" s="1">
        <f t="shared" si="17"/>
        <v>2</v>
      </c>
      <c r="Y39" s="1">
        <f t="shared" si="18"/>
        <v>3</v>
      </c>
      <c r="Z39" s="1">
        <f t="shared" si="19"/>
        <v>7</v>
      </c>
      <c r="AA39" s="1">
        <f t="shared" si="20"/>
        <v>1.4285714285714284</v>
      </c>
      <c r="AB39" s="1">
        <f t="shared" si="21"/>
        <v>2</v>
      </c>
      <c r="AC39" s="1">
        <f t="shared" si="22"/>
        <v>2.1428571428571428</v>
      </c>
      <c r="AD39" s="1">
        <f t="shared" si="23"/>
        <v>1.857142857142857</v>
      </c>
    </row>
    <row r="40" spans="2:30" x14ac:dyDescent="0.3">
      <c r="B40" s="74" t="s">
        <v>105</v>
      </c>
      <c r="C40" s="74">
        <v>13</v>
      </c>
      <c r="D40" s="22"/>
      <c r="E40" s="3" t="s">
        <v>43</v>
      </c>
      <c r="F40" s="1">
        <v>0</v>
      </c>
      <c r="W40" s="1">
        <f t="shared" si="16"/>
        <v>0</v>
      </c>
      <c r="X40" s="1">
        <f t="shared" si="17"/>
        <v>0</v>
      </c>
      <c r="Y40" s="1">
        <f t="shared" si="18"/>
        <v>0</v>
      </c>
      <c r="Z40" s="1">
        <f t="shared" si="19"/>
        <v>0</v>
      </c>
      <c r="AA40" s="1">
        <f t="shared" si="20"/>
        <v>0</v>
      </c>
      <c r="AB40" s="1">
        <f t="shared" si="21"/>
        <v>0</v>
      </c>
      <c r="AC40" s="1">
        <f t="shared" si="22"/>
        <v>0</v>
      </c>
      <c r="AD40" s="1">
        <f t="shared" si="23"/>
        <v>0</v>
      </c>
    </row>
    <row r="41" spans="2:30" x14ac:dyDescent="0.3">
      <c r="B41" s="74"/>
      <c r="C41" s="74"/>
      <c r="D41" s="22"/>
      <c r="E41" s="3" t="s">
        <v>48</v>
      </c>
      <c r="F41" s="1">
        <v>1</v>
      </c>
      <c r="G41" s="1">
        <v>1</v>
      </c>
      <c r="H41" s="1">
        <v>1</v>
      </c>
      <c r="I41" s="1">
        <v>0</v>
      </c>
      <c r="J41" s="1">
        <v>0</v>
      </c>
      <c r="K41" s="1">
        <v>0</v>
      </c>
      <c r="L41" s="1">
        <v>0</v>
      </c>
      <c r="M41" s="1">
        <v>0</v>
      </c>
      <c r="N41" s="1">
        <v>1</v>
      </c>
      <c r="O41" s="1">
        <v>0</v>
      </c>
      <c r="P41" s="1">
        <v>0</v>
      </c>
      <c r="Q41" s="1">
        <v>0</v>
      </c>
      <c r="R41" s="1">
        <v>0</v>
      </c>
      <c r="S41" s="1">
        <v>1</v>
      </c>
      <c r="T41" s="1">
        <v>0</v>
      </c>
      <c r="U41" s="1">
        <v>1</v>
      </c>
      <c r="V41" s="2">
        <v>1</v>
      </c>
      <c r="W41" s="1">
        <f t="shared" si="16"/>
        <v>2</v>
      </c>
      <c r="X41" s="1">
        <f t="shared" si="17"/>
        <v>1</v>
      </c>
      <c r="Y41" s="1">
        <f t="shared" si="18"/>
        <v>3</v>
      </c>
      <c r="Z41" s="1">
        <f t="shared" si="19"/>
        <v>6</v>
      </c>
      <c r="AA41" s="1">
        <f t="shared" si="20"/>
        <v>1.4285714285714284</v>
      </c>
      <c r="AB41" s="1">
        <f t="shared" si="21"/>
        <v>1</v>
      </c>
      <c r="AC41" s="1">
        <f t="shared" si="22"/>
        <v>2.1428571428571428</v>
      </c>
      <c r="AD41" s="1">
        <f t="shared" si="23"/>
        <v>1.5238095238095237</v>
      </c>
    </row>
    <row r="42" spans="2:30" x14ac:dyDescent="0.3">
      <c r="B42" s="74" t="s">
        <v>106</v>
      </c>
      <c r="C42" s="74">
        <v>14</v>
      </c>
      <c r="D42" s="22"/>
      <c r="E42" s="3" t="s">
        <v>43</v>
      </c>
      <c r="F42" s="1">
        <v>1</v>
      </c>
      <c r="G42" s="1">
        <v>0</v>
      </c>
      <c r="H42" s="1">
        <v>1</v>
      </c>
      <c r="I42" s="1">
        <v>0</v>
      </c>
      <c r="J42" s="1">
        <v>1</v>
      </c>
      <c r="K42" s="1">
        <v>0</v>
      </c>
      <c r="L42" s="1">
        <v>0</v>
      </c>
      <c r="M42" s="1">
        <v>0</v>
      </c>
      <c r="N42" s="1">
        <v>0</v>
      </c>
      <c r="O42" s="1">
        <v>0</v>
      </c>
      <c r="P42" s="1">
        <v>0</v>
      </c>
      <c r="Q42" s="1">
        <v>0</v>
      </c>
      <c r="R42" s="1">
        <v>0</v>
      </c>
      <c r="S42" s="1">
        <v>1</v>
      </c>
      <c r="T42" s="1">
        <v>0</v>
      </c>
      <c r="U42" s="1">
        <v>0</v>
      </c>
      <c r="V42" s="2">
        <v>1</v>
      </c>
      <c r="W42" s="1">
        <f t="shared" si="16"/>
        <v>2</v>
      </c>
      <c r="X42" s="1">
        <f t="shared" si="17"/>
        <v>0</v>
      </c>
      <c r="Y42" s="1">
        <f t="shared" si="18"/>
        <v>2</v>
      </c>
      <c r="Z42" s="1">
        <f t="shared" si="19"/>
        <v>4</v>
      </c>
      <c r="AA42" s="1">
        <f t="shared" si="20"/>
        <v>1.4285714285714284</v>
      </c>
      <c r="AB42" s="1">
        <f t="shared" si="21"/>
        <v>0</v>
      </c>
      <c r="AC42" s="1">
        <f t="shared" si="22"/>
        <v>1.4285714285714284</v>
      </c>
      <c r="AD42" s="1">
        <f t="shared" si="23"/>
        <v>0.95238095238095222</v>
      </c>
    </row>
    <row r="43" spans="2:30" x14ac:dyDescent="0.3">
      <c r="B43" s="74"/>
      <c r="C43" s="74"/>
      <c r="D43" s="22"/>
      <c r="E43" s="3" t="s">
        <v>48</v>
      </c>
      <c r="F43" s="1">
        <v>1</v>
      </c>
      <c r="G43" s="1">
        <v>0</v>
      </c>
      <c r="H43" s="1">
        <v>1</v>
      </c>
      <c r="I43" s="1">
        <v>0</v>
      </c>
      <c r="J43" s="1">
        <v>1</v>
      </c>
      <c r="K43" s="1">
        <v>0</v>
      </c>
      <c r="L43" s="1">
        <v>0</v>
      </c>
      <c r="M43" s="1">
        <v>0</v>
      </c>
      <c r="N43" s="1">
        <v>0</v>
      </c>
      <c r="O43" s="1">
        <v>0</v>
      </c>
      <c r="P43" s="1">
        <v>0</v>
      </c>
      <c r="Q43" s="1">
        <v>0</v>
      </c>
      <c r="R43" s="1">
        <v>0</v>
      </c>
      <c r="S43" s="1">
        <v>1</v>
      </c>
      <c r="T43" s="1">
        <v>0</v>
      </c>
      <c r="U43" s="1">
        <v>0</v>
      </c>
      <c r="V43" s="2">
        <v>1</v>
      </c>
      <c r="W43" s="1">
        <f t="shared" si="16"/>
        <v>2</v>
      </c>
      <c r="X43" s="1">
        <f t="shared" si="17"/>
        <v>0</v>
      </c>
      <c r="Y43" s="1">
        <f t="shared" si="18"/>
        <v>2</v>
      </c>
      <c r="Z43" s="1">
        <f t="shared" si="19"/>
        <v>4</v>
      </c>
      <c r="AA43" s="1">
        <f t="shared" si="20"/>
        <v>1.4285714285714284</v>
      </c>
      <c r="AB43" s="1">
        <f t="shared" si="21"/>
        <v>0</v>
      </c>
      <c r="AC43" s="1">
        <f t="shared" si="22"/>
        <v>1.4285714285714284</v>
      </c>
      <c r="AD43" s="1">
        <f t="shared" si="23"/>
        <v>0.95238095238095222</v>
      </c>
    </row>
    <row r="44" spans="2:30" x14ac:dyDescent="0.3">
      <c r="B44" s="74"/>
      <c r="C44" s="74"/>
      <c r="D44" s="22"/>
      <c r="W44" s="1">
        <f t="shared" si="16"/>
        <v>0</v>
      </c>
      <c r="X44" s="1">
        <f t="shared" si="17"/>
        <v>0</v>
      </c>
      <c r="Y44" s="1">
        <f t="shared" si="18"/>
        <v>0</v>
      </c>
      <c r="Z44" s="1">
        <f t="shared" si="19"/>
        <v>0</v>
      </c>
      <c r="AA44" s="1">
        <f t="shared" si="20"/>
        <v>0</v>
      </c>
      <c r="AB44" s="1">
        <f t="shared" si="21"/>
        <v>0</v>
      </c>
      <c r="AC44" s="1">
        <f t="shared" si="22"/>
        <v>0</v>
      </c>
      <c r="AD44" s="1">
        <f t="shared" si="23"/>
        <v>0</v>
      </c>
    </row>
    <row r="45" spans="2:30" x14ac:dyDescent="0.3">
      <c r="B45" s="74"/>
      <c r="C45" s="74"/>
      <c r="D45" s="22"/>
      <c r="W45" s="1">
        <f t="shared" si="16"/>
        <v>0</v>
      </c>
      <c r="X45" s="1">
        <f t="shared" si="17"/>
        <v>0</v>
      </c>
      <c r="Y45" s="1">
        <f t="shared" si="18"/>
        <v>0</v>
      </c>
      <c r="Z45" s="1">
        <f t="shared" si="19"/>
        <v>0</v>
      </c>
      <c r="AA45" s="1">
        <f t="shared" si="20"/>
        <v>0</v>
      </c>
      <c r="AB45" s="1">
        <f t="shared" si="21"/>
        <v>0</v>
      </c>
      <c r="AC45" s="1">
        <f t="shared" si="22"/>
        <v>0</v>
      </c>
      <c r="AD45" s="1">
        <f t="shared" si="23"/>
        <v>0</v>
      </c>
    </row>
    <row r="46" spans="2:30" x14ac:dyDescent="0.3">
      <c r="B46" s="75" t="s">
        <v>256</v>
      </c>
      <c r="C46" s="74"/>
      <c r="D46" s="74" t="s">
        <v>257</v>
      </c>
      <c r="E46" s="74"/>
      <c r="F46" s="74"/>
      <c r="G46" s="74"/>
      <c r="H46" s="74"/>
      <c r="W46" s="1">
        <f t="shared" si="16"/>
        <v>0</v>
      </c>
      <c r="X46" s="1">
        <f t="shared" si="17"/>
        <v>0</v>
      </c>
      <c r="Y46" s="1">
        <f t="shared" si="18"/>
        <v>0</v>
      </c>
      <c r="Z46" s="1">
        <f t="shared" si="19"/>
        <v>0</v>
      </c>
      <c r="AA46" s="1">
        <f t="shared" si="20"/>
        <v>0</v>
      </c>
      <c r="AB46" s="1">
        <f t="shared" si="21"/>
        <v>0</v>
      </c>
      <c r="AC46" s="1">
        <f t="shared" si="22"/>
        <v>0</v>
      </c>
      <c r="AD46" s="1">
        <f t="shared" si="23"/>
        <v>0</v>
      </c>
    </row>
    <row r="47" spans="2:30" x14ac:dyDescent="0.3">
      <c r="B47" s="74"/>
      <c r="C47" s="74"/>
      <c r="D47" s="74"/>
      <c r="E47" s="74"/>
      <c r="F47" s="74"/>
      <c r="G47" s="74"/>
      <c r="H47" s="74"/>
      <c r="W47" s="1">
        <f t="shared" si="16"/>
        <v>0</v>
      </c>
      <c r="X47" s="1">
        <f t="shared" si="17"/>
        <v>0</v>
      </c>
      <c r="Y47" s="1">
        <f t="shared" si="18"/>
        <v>0</v>
      </c>
      <c r="Z47" s="1">
        <f t="shared" si="19"/>
        <v>0</v>
      </c>
      <c r="AA47" s="1">
        <f t="shared" si="20"/>
        <v>0</v>
      </c>
      <c r="AB47" s="1">
        <f t="shared" si="21"/>
        <v>0</v>
      </c>
      <c r="AC47" s="1">
        <f t="shared" si="22"/>
        <v>0</v>
      </c>
      <c r="AD47" s="1">
        <f t="shared" si="23"/>
        <v>0</v>
      </c>
    </row>
    <row r="48" spans="2:30" x14ac:dyDescent="0.3">
      <c r="B48" s="74"/>
      <c r="C48" s="74"/>
      <c r="D48" s="22"/>
      <c r="W48" s="1">
        <f t="shared" si="16"/>
        <v>0</v>
      </c>
      <c r="X48" s="1">
        <f t="shared" si="17"/>
        <v>0</v>
      </c>
      <c r="Y48" s="1">
        <f t="shared" si="18"/>
        <v>0</v>
      </c>
      <c r="Z48" s="1">
        <f t="shared" si="19"/>
        <v>0</v>
      </c>
      <c r="AA48" s="1">
        <f t="shared" si="20"/>
        <v>0</v>
      </c>
      <c r="AB48" s="1">
        <f t="shared" si="21"/>
        <v>0</v>
      </c>
      <c r="AC48" s="1">
        <f t="shared" si="22"/>
        <v>0</v>
      </c>
      <c r="AD48" s="1">
        <f t="shared" si="23"/>
        <v>0</v>
      </c>
    </row>
    <row r="49" spans="2:32" x14ac:dyDescent="0.3">
      <c r="B49" s="74"/>
      <c r="C49" s="74"/>
      <c r="D49" s="22"/>
      <c r="W49" s="1">
        <f t="shared" si="16"/>
        <v>0</v>
      </c>
      <c r="X49" s="1">
        <f t="shared" si="17"/>
        <v>0</v>
      </c>
      <c r="Y49" s="1">
        <f t="shared" si="18"/>
        <v>0</v>
      </c>
      <c r="Z49" s="1">
        <f t="shared" si="19"/>
        <v>0</v>
      </c>
      <c r="AA49" s="1">
        <f t="shared" si="20"/>
        <v>0</v>
      </c>
      <c r="AB49" s="1">
        <f t="shared" si="21"/>
        <v>0</v>
      </c>
      <c r="AC49" s="1">
        <f t="shared" si="22"/>
        <v>0</v>
      </c>
      <c r="AD49" s="1">
        <f t="shared" si="23"/>
        <v>0</v>
      </c>
    </row>
    <row r="50" spans="2:32" s="32" customFormat="1" x14ac:dyDescent="0.3">
      <c r="B50" s="74" t="s">
        <v>88</v>
      </c>
      <c r="C50" s="74">
        <v>1</v>
      </c>
      <c r="D50" s="30"/>
      <c r="E50" s="31" t="s">
        <v>43</v>
      </c>
      <c r="F50" s="32">
        <v>0</v>
      </c>
      <c r="G50" s="32">
        <v>1</v>
      </c>
      <c r="H50" s="32">
        <v>0</v>
      </c>
      <c r="I50" s="32">
        <v>0</v>
      </c>
      <c r="J50" s="32">
        <v>0</v>
      </c>
      <c r="K50" s="32">
        <v>0</v>
      </c>
      <c r="L50" s="32">
        <v>0</v>
      </c>
      <c r="M50" s="32">
        <v>0</v>
      </c>
      <c r="N50" s="32">
        <v>1</v>
      </c>
      <c r="O50" s="33">
        <v>0</v>
      </c>
      <c r="P50" s="32">
        <v>0</v>
      </c>
      <c r="Q50" s="32">
        <v>0</v>
      </c>
      <c r="R50" s="32">
        <v>0</v>
      </c>
      <c r="S50" s="32">
        <v>0</v>
      </c>
      <c r="T50" s="32">
        <v>0</v>
      </c>
      <c r="U50" s="33">
        <v>1</v>
      </c>
      <c r="V50" s="33">
        <v>1</v>
      </c>
      <c r="W50" s="32">
        <f t="shared" ref="W50:W74" si="24">SUM(G50:L50)</f>
        <v>1</v>
      </c>
      <c r="X50" s="32">
        <f t="shared" ref="X50:X74" si="25">SUM(M50:Q50)</f>
        <v>1</v>
      </c>
      <c r="Y50" s="32">
        <f t="shared" ref="Y50:Y74" si="26">SUM(R50:V50)</f>
        <v>2</v>
      </c>
      <c r="Z50" s="32">
        <f t="shared" ref="Z50:Z74" si="27">SUM(W50:Y50)</f>
        <v>4</v>
      </c>
      <c r="AA50" s="32">
        <f t="shared" si="20"/>
        <v>0.71428571428571419</v>
      </c>
      <c r="AB50" s="32">
        <f t="shared" si="21"/>
        <v>1</v>
      </c>
      <c r="AC50" s="32">
        <f t="shared" si="22"/>
        <v>1.4285714285714284</v>
      </c>
      <c r="AD50" s="32">
        <f t="shared" si="23"/>
        <v>1.0476190476190474</v>
      </c>
      <c r="AF50" s="34"/>
    </row>
    <row r="51" spans="2:32" x14ac:dyDescent="0.3">
      <c r="B51" s="74"/>
      <c r="C51" s="74"/>
      <c r="D51" s="22"/>
      <c r="E51" s="3" t="s">
        <v>48</v>
      </c>
      <c r="F51" s="1">
        <v>0</v>
      </c>
      <c r="G51" s="2">
        <v>1</v>
      </c>
      <c r="H51" s="1">
        <v>0</v>
      </c>
      <c r="I51" s="1">
        <v>0</v>
      </c>
      <c r="J51" s="1">
        <v>0</v>
      </c>
      <c r="K51" s="2">
        <v>0</v>
      </c>
      <c r="L51" s="1">
        <v>0</v>
      </c>
      <c r="M51" s="1">
        <v>0</v>
      </c>
      <c r="N51" s="2">
        <v>1</v>
      </c>
      <c r="O51" s="1">
        <v>0</v>
      </c>
      <c r="P51" s="1">
        <v>0</v>
      </c>
      <c r="Q51" s="1">
        <v>0</v>
      </c>
      <c r="R51" s="2">
        <v>0</v>
      </c>
      <c r="S51" s="1">
        <v>0</v>
      </c>
      <c r="T51" s="2">
        <v>0</v>
      </c>
      <c r="U51" s="2">
        <v>1</v>
      </c>
      <c r="V51" s="2">
        <v>1</v>
      </c>
      <c r="W51" s="1">
        <f t="shared" si="24"/>
        <v>1</v>
      </c>
      <c r="X51" s="1">
        <f t="shared" si="25"/>
        <v>1</v>
      </c>
      <c r="Y51" s="1">
        <f t="shared" si="26"/>
        <v>2</v>
      </c>
      <c r="Z51" s="1">
        <f t="shared" si="27"/>
        <v>4</v>
      </c>
      <c r="AA51" s="1">
        <f t="shared" si="20"/>
        <v>0.71428571428571419</v>
      </c>
      <c r="AB51" s="1">
        <f t="shared" si="21"/>
        <v>1</v>
      </c>
      <c r="AC51" s="1">
        <f t="shared" si="22"/>
        <v>1.4285714285714284</v>
      </c>
      <c r="AD51" s="1">
        <f t="shared" si="23"/>
        <v>1.0476190476190474</v>
      </c>
      <c r="AE51" s="4"/>
      <c r="AF51" s="4"/>
    </row>
    <row r="52" spans="2:32" x14ac:dyDescent="0.3">
      <c r="B52" s="76" t="s">
        <v>90</v>
      </c>
      <c r="C52" s="76">
        <v>2</v>
      </c>
      <c r="D52" s="22"/>
      <c r="E52" s="3" t="s">
        <v>43</v>
      </c>
      <c r="K52" s="2"/>
      <c r="W52" s="1">
        <f t="shared" si="24"/>
        <v>0</v>
      </c>
      <c r="X52" s="1">
        <f t="shared" si="25"/>
        <v>0</v>
      </c>
      <c r="Y52" s="1">
        <f t="shared" si="26"/>
        <v>0</v>
      </c>
      <c r="Z52" s="1">
        <f t="shared" si="27"/>
        <v>0</v>
      </c>
      <c r="AA52" s="1">
        <f t="shared" si="20"/>
        <v>0</v>
      </c>
      <c r="AB52" s="1">
        <f t="shared" si="21"/>
        <v>0</v>
      </c>
      <c r="AC52" s="1">
        <f t="shared" si="22"/>
        <v>0</v>
      </c>
      <c r="AD52" s="1">
        <f t="shared" si="23"/>
        <v>0</v>
      </c>
      <c r="AF52" s="4"/>
    </row>
    <row r="53" spans="2:32" x14ac:dyDescent="0.3">
      <c r="B53" s="76"/>
      <c r="C53" s="76"/>
      <c r="D53" s="22"/>
      <c r="E53" s="3" t="s">
        <v>48</v>
      </c>
      <c r="K53" s="2"/>
      <c r="T53" s="2"/>
      <c r="U53" s="2"/>
      <c r="W53" s="1">
        <f t="shared" si="24"/>
        <v>0</v>
      </c>
      <c r="X53" s="1">
        <f t="shared" si="25"/>
        <v>0</v>
      </c>
      <c r="Y53" s="1">
        <f t="shared" si="26"/>
        <v>0</v>
      </c>
      <c r="Z53" s="1">
        <f t="shared" si="27"/>
        <v>0</v>
      </c>
      <c r="AA53" s="1">
        <f t="shared" si="20"/>
        <v>0</v>
      </c>
      <c r="AB53" s="1">
        <f t="shared" si="21"/>
        <v>0</v>
      </c>
      <c r="AC53" s="1">
        <f t="shared" si="22"/>
        <v>0</v>
      </c>
      <c r="AD53" s="1">
        <f t="shared" si="23"/>
        <v>0</v>
      </c>
      <c r="AF53" s="4"/>
    </row>
    <row r="54" spans="2:32" s="24" customFormat="1" x14ac:dyDescent="0.3">
      <c r="B54" s="74" t="s">
        <v>94</v>
      </c>
      <c r="C54" s="74">
        <v>3</v>
      </c>
      <c r="D54" s="25"/>
      <c r="E54" s="23" t="s">
        <v>43</v>
      </c>
      <c r="F54" s="24">
        <v>0</v>
      </c>
      <c r="G54" s="24">
        <v>1</v>
      </c>
      <c r="H54" s="24">
        <v>0</v>
      </c>
      <c r="I54" s="24">
        <v>0</v>
      </c>
      <c r="J54" s="24">
        <v>0</v>
      </c>
      <c r="K54" s="26">
        <v>0</v>
      </c>
      <c r="L54" s="24">
        <v>0</v>
      </c>
      <c r="M54" s="24">
        <v>0</v>
      </c>
      <c r="N54" s="26">
        <v>1</v>
      </c>
      <c r="O54" s="24">
        <v>0</v>
      </c>
      <c r="P54" s="24">
        <v>0</v>
      </c>
      <c r="Q54" s="24">
        <v>0</v>
      </c>
      <c r="R54" s="24">
        <v>0</v>
      </c>
      <c r="S54" s="24">
        <v>0</v>
      </c>
      <c r="T54" s="26">
        <v>0</v>
      </c>
      <c r="U54" s="26">
        <v>1</v>
      </c>
      <c r="V54" s="26">
        <v>1</v>
      </c>
      <c r="W54" s="24">
        <f t="shared" si="24"/>
        <v>1</v>
      </c>
      <c r="X54" s="24">
        <f t="shared" si="25"/>
        <v>1</v>
      </c>
      <c r="Y54" s="24">
        <f t="shared" si="26"/>
        <v>2</v>
      </c>
      <c r="Z54" s="24">
        <f t="shared" si="27"/>
        <v>4</v>
      </c>
      <c r="AA54" s="24">
        <f t="shared" si="20"/>
        <v>0.71428571428571419</v>
      </c>
      <c r="AB54" s="24">
        <f t="shared" si="21"/>
        <v>1</v>
      </c>
      <c r="AC54" s="24">
        <f t="shared" si="22"/>
        <v>1.4285714285714284</v>
      </c>
      <c r="AD54" s="24">
        <f t="shared" si="23"/>
        <v>1.0476190476190474</v>
      </c>
      <c r="AF54" s="28"/>
    </row>
    <row r="55" spans="2:32" x14ac:dyDescent="0.3">
      <c r="B55" s="74"/>
      <c r="C55" s="74"/>
      <c r="D55" s="22"/>
      <c r="E55" s="3" t="s">
        <v>48</v>
      </c>
      <c r="F55" s="1">
        <v>0</v>
      </c>
      <c r="G55" s="1">
        <v>0</v>
      </c>
      <c r="H55" s="1">
        <v>0</v>
      </c>
      <c r="I55" s="1">
        <v>0</v>
      </c>
      <c r="J55" s="1">
        <v>0</v>
      </c>
      <c r="K55" s="2">
        <v>0</v>
      </c>
      <c r="L55" s="1">
        <v>0</v>
      </c>
      <c r="M55" s="1">
        <v>0</v>
      </c>
      <c r="N55" s="2">
        <v>0</v>
      </c>
      <c r="O55" s="1">
        <v>0</v>
      </c>
      <c r="P55" s="1">
        <v>0</v>
      </c>
      <c r="Q55" s="1">
        <v>0</v>
      </c>
      <c r="R55" s="1">
        <v>0</v>
      </c>
      <c r="S55" s="1">
        <v>0</v>
      </c>
      <c r="T55" s="2">
        <v>0</v>
      </c>
      <c r="U55" s="2">
        <v>0</v>
      </c>
      <c r="V55" s="2">
        <v>0</v>
      </c>
      <c r="W55" s="1">
        <f t="shared" si="24"/>
        <v>0</v>
      </c>
      <c r="X55" s="1">
        <f t="shared" si="25"/>
        <v>0</v>
      </c>
      <c r="Y55" s="1">
        <f t="shared" si="26"/>
        <v>0</v>
      </c>
      <c r="Z55" s="1">
        <f t="shared" si="27"/>
        <v>0</v>
      </c>
      <c r="AA55" s="1">
        <f t="shared" si="20"/>
        <v>0</v>
      </c>
      <c r="AB55" s="1">
        <f t="shared" si="21"/>
        <v>0</v>
      </c>
      <c r="AC55" s="1">
        <f t="shared" si="22"/>
        <v>0</v>
      </c>
      <c r="AD55" s="1">
        <f t="shared" si="23"/>
        <v>0</v>
      </c>
      <c r="AF55" s="4"/>
    </row>
    <row r="56" spans="2:32" x14ac:dyDescent="0.3">
      <c r="B56" s="74" t="s">
        <v>95</v>
      </c>
      <c r="C56" s="74">
        <v>4</v>
      </c>
      <c r="D56" s="22"/>
      <c r="E56" s="3" t="s">
        <v>43</v>
      </c>
      <c r="F56" s="1">
        <v>1</v>
      </c>
      <c r="G56" s="1">
        <v>1</v>
      </c>
      <c r="H56" s="1">
        <v>0</v>
      </c>
      <c r="I56" s="1">
        <v>0</v>
      </c>
      <c r="J56" s="1">
        <v>0</v>
      </c>
      <c r="K56" s="2">
        <v>0</v>
      </c>
      <c r="L56" s="1">
        <v>0</v>
      </c>
      <c r="M56" s="2">
        <v>0</v>
      </c>
      <c r="N56" s="1">
        <v>1</v>
      </c>
      <c r="O56" s="1">
        <v>0</v>
      </c>
      <c r="P56" s="1">
        <v>0</v>
      </c>
      <c r="Q56" s="1">
        <v>0</v>
      </c>
      <c r="R56" s="1">
        <v>0</v>
      </c>
      <c r="S56" s="1">
        <v>0</v>
      </c>
      <c r="T56" s="2">
        <v>0</v>
      </c>
      <c r="U56" s="2">
        <v>0</v>
      </c>
      <c r="V56" s="2">
        <v>1</v>
      </c>
      <c r="W56" s="1">
        <f t="shared" si="24"/>
        <v>1</v>
      </c>
      <c r="X56" s="1">
        <f t="shared" si="25"/>
        <v>1</v>
      </c>
      <c r="Y56" s="1">
        <f t="shared" si="26"/>
        <v>1</v>
      </c>
      <c r="Z56" s="1">
        <f t="shared" si="27"/>
        <v>3</v>
      </c>
      <c r="AA56" s="1">
        <f t="shared" si="20"/>
        <v>0.71428571428571419</v>
      </c>
      <c r="AB56" s="1">
        <f t="shared" si="21"/>
        <v>1</v>
      </c>
      <c r="AC56" s="1">
        <f t="shared" si="22"/>
        <v>0.71428571428571419</v>
      </c>
      <c r="AD56" s="1">
        <f t="shared" si="23"/>
        <v>0.80952380952380942</v>
      </c>
      <c r="AF56" s="4"/>
    </row>
    <row r="57" spans="2:32" s="24" customFormat="1" x14ac:dyDescent="0.3">
      <c r="B57" s="74"/>
      <c r="C57" s="74"/>
      <c r="D57" s="25"/>
      <c r="E57" s="23" t="s">
        <v>48</v>
      </c>
      <c r="F57" s="24">
        <v>3</v>
      </c>
      <c r="G57" s="24">
        <v>1</v>
      </c>
      <c r="H57" s="24">
        <v>1</v>
      </c>
      <c r="I57" s="24">
        <v>1</v>
      </c>
      <c r="J57" s="24">
        <v>1</v>
      </c>
      <c r="K57" s="26">
        <v>1</v>
      </c>
      <c r="L57" s="24">
        <v>1</v>
      </c>
      <c r="M57" s="24">
        <v>0</v>
      </c>
      <c r="N57" s="24">
        <v>1</v>
      </c>
      <c r="O57" s="24">
        <v>1</v>
      </c>
      <c r="P57" s="24">
        <v>0</v>
      </c>
      <c r="Q57" s="24">
        <v>1</v>
      </c>
      <c r="R57" s="24">
        <v>1</v>
      </c>
      <c r="S57" s="24">
        <v>1</v>
      </c>
      <c r="T57" s="26">
        <v>0</v>
      </c>
      <c r="U57" s="26">
        <v>0</v>
      </c>
      <c r="V57" s="26">
        <v>0</v>
      </c>
      <c r="W57" s="24">
        <f t="shared" si="24"/>
        <v>6</v>
      </c>
      <c r="X57" s="24">
        <f t="shared" si="25"/>
        <v>3</v>
      </c>
      <c r="Y57" s="24">
        <f t="shared" si="26"/>
        <v>2</v>
      </c>
      <c r="Z57" s="24">
        <f t="shared" si="27"/>
        <v>11</v>
      </c>
      <c r="AA57" s="24">
        <f t="shared" si="20"/>
        <v>4.2857142857142856</v>
      </c>
      <c r="AB57" s="24">
        <f t="shared" si="21"/>
        <v>3</v>
      </c>
      <c r="AC57" s="24">
        <f t="shared" si="22"/>
        <v>1.4285714285714284</v>
      </c>
      <c r="AD57" s="24">
        <f t="shared" si="23"/>
        <v>2.9047619047619047</v>
      </c>
      <c r="AF57" s="27"/>
    </row>
    <row r="58" spans="2:32" s="24" customFormat="1" x14ac:dyDescent="0.3">
      <c r="B58" s="74" t="s">
        <v>96</v>
      </c>
      <c r="C58" s="74">
        <v>5</v>
      </c>
      <c r="D58" s="25"/>
      <c r="E58" s="23" t="s">
        <v>43</v>
      </c>
      <c r="F58" s="24">
        <v>1</v>
      </c>
      <c r="G58" s="24">
        <v>1</v>
      </c>
      <c r="H58" s="24">
        <v>1</v>
      </c>
      <c r="I58" s="24">
        <v>0</v>
      </c>
      <c r="J58" s="24">
        <v>1</v>
      </c>
      <c r="K58" s="26">
        <v>1</v>
      </c>
      <c r="L58" s="24">
        <v>0</v>
      </c>
      <c r="M58" s="24">
        <v>0</v>
      </c>
      <c r="N58" s="24">
        <v>0</v>
      </c>
      <c r="O58" s="24">
        <v>1</v>
      </c>
      <c r="P58" s="24">
        <v>0</v>
      </c>
      <c r="Q58" s="24">
        <v>0</v>
      </c>
      <c r="R58" s="24">
        <v>0</v>
      </c>
      <c r="S58" s="24">
        <v>1</v>
      </c>
      <c r="T58" s="26">
        <v>0</v>
      </c>
      <c r="U58" s="26">
        <v>0</v>
      </c>
      <c r="V58" s="26">
        <v>0</v>
      </c>
      <c r="W58" s="24">
        <f t="shared" si="24"/>
        <v>4</v>
      </c>
      <c r="X58" s="24">
        <f t="shared" si="25"/>
        <v>1</v>
      </c>
      <c r="Y58" s="24">
        <f t="shared" si="26"/>
        <v>1</v>
      </c>
      <c r="Z58" s="24">
        <f t="shared" si="27"/>
        <v>6</v>
      </c>
      <c r="AA58" s="24">
        <f t="shared" si="20"/>
        <v>2.8571428571428568</v>
      </c>
      <c r="AB58" s="24">
        <f t="shared" si="21"/>
        <v>1</v>
      </c>
      <c r="AC58" s="24">
        <f t="shared" si="22"/>
        <v>0.71428571428571419</v>
      </c>
      <c r="AD58" s="24">
        <f t="shared" si="23"/>
        <v>1.5238095238095237</v>
      </c>
      <c r="AF58" s="29"/>
    </row>
    <row r="59" spans="2:32" x14ac:dyDescent="0.3">
      <c r="B59" s="74"/>
      <c r="C59" s="74"/>
      <c r="D59" s="22"/>
      <c r="E59" s="3" t="s">
        <v>48</v>
      </c>
      <c r="F59" s="1">
        <v>0</v>
      </c>
      <c r="G59" s="1">
        <v>1</v>
      </c>
      <c r="H59" s="1">
        <v>1</v>
      </c>
      <c r="I59" s="1">
        <v>0</v>
      </c>
      <c r="J59" s="1">
        <v>0</v>
      </c>
      <c r="K59" s="2">
        <v>0</v>
      </c>
      <c r="L59" s="1">
        <v>0</v>
      </c>
      <c r="M59" s="1">
        <v>0</v>
      </c>
      <c r="N59" s="1">
        <v>1</v>
      </c>
      <c r="O59" s="2">
        <v>0</v>
      </c>
      <c r="P59" s="1">
        <v>0</v>
      </c>
      <c r="Q59" s="1">
        <v>0</v>
      </c>
      <c r="R59" s="1">
        <v>0</v>
      </c>
      <c r="S59" s="1">
        <v>0</v>
      </c>
      <c r="T59" s="2">
        <v>0</v>
      </c>
      <c r="U59" s="2">
        <v>1</v>
      </c>
      <c r="V59" s="2">
        <v>1</v>
      </c>
      <c r="W59" s="1">
        <f t="shared" si="24"/>
        <v>2</v>
      </c>
      <c r="X59" s="1">
        <f t="shared" si="25"/>
        <v>1</v>
      </c>
      <c r="Y59" s="1">
        <f t="shared" si="26"/>
        <v>2</v>
      </c>
      <c r="Z59" s="1">
        <f t="shared" si="27"/>
        <v>5</v>
      </c>
      <c r="AA59" s="1">
        <f t="shared" si="20"/>
        <v>1.4285714285714284</v>
      </c>
      <c r="AB59" s="1">
        <f t="shared" si="21"/>
        <v>1</v>
      </c>
      <c r="AC59" s="1">
        <f t="shared" si="22"/>
        <v>1.4285714285714284</v>
      </c>
      <c r="AD59" s="1">
        <f t="shared" si="23"/>
        <v>1.2857142857142856</v>
      </c>
      <c r="AF59" s="4"/>
    </row>
    <row r="60" spans="2:32" s="32" customFormat="1" x14ac:dyDescent="0.3">
      <c r="B60" s="74" t="s">
        <v>97</v>
      </c>
      <c r="C60" s="74">
        <v>6</v>
      </c>
      <c r="D60" s="30"/>
      <c r="E60" s="31" t="s">
        <v>43</v>
      </c>
      <c r="F60" s="32">
        <v>2</v>
      </c>
      <c r="G60" s="32">
        <v>0</v>
      </c>
      <c r="H60" s="32">
        <v>1</v>
      </c>
      <c r="I60" s="32">
        <v>0</v>
      </c>
      <c r="J60" s="32">
        <v>1</v>
      </c>
      <c r="K60" s="33">
        <v>0</v>
      </c>
      <c r="L60" s="32">
        <v>0</v>
      </c>
      <c r="M60" s="32">
        <v>0</v>
      </c>
      <c r="N60" s="32">
        <v>0</v>
      </c>
      <c r="O60" s="32">
        <v>0</v>
      </c>
      <c r="P60" s="32">
        <v>0</v>
      </c>
      <c r="Q60" s="32">
        <v>0</v>
      </c>
      <c r="R60" s="32">
        <v>0</v>
      </c>
      <c r="S60" s="32">
        <v>0</v>
      </c>
      <c r="T60" s="33">
        <v>0</v>
      </c>
      <c r="U60" s="33">
        <v>0</v>
      </c>
      <c r="V60" s="33">
        <v>1</v>
      </c>
      <c r="W60" s="32">
        <f t="shared" si="24"/>
        <v>2</v>
      </c>
      <c r="X60" s="32">
        <f t="shared" si="25"/>
        <v>0</v>
      </c>
      <c r="Y60" s="32">
        <f t="shared" si="26"/>
        <v>1</v>
      </c>
      <c r="Z60" s="32">
        <f t="shared" si="27"/>
        <v>3</v>
      </c>
      <c r="AA60" s="32">
        <f t="shared" si="20"/>
        <v>1.4285714285714284</v>
      </c>
      <c r="AB60" s="32">
        <f t="shared" si="21"/>
        <v>0</v>
      </c>
      <c r="AC60" s="32">
        <f t="shared" si="22"/>
        <v>0.71428571428571419</v>
      </c>
      <c r="AD60" s="32">
        <f t="shared" si="23"/>
        <v>0.71428571428571408</v>
      </c>
      <c r="AF60" s="34"/>
    </row>
    <row r="61" spans="2:32" x14ac:dyDescent="0.3">
      <c r="B61" s="74"/>
      <c r="C61" s="74"/>
      <c r="D61" s="22"/>
      <c r="E61" s="3" t="s">
        <v>48</v>
      </c>
      <c r="F61" s="1">
        <v>2</v>
      </c>
      <c r="G61" s="1">
        <v>0</v>
      </c>
      <c r="H61" s="1">
        <v>1</v>
      </c>
      <c r="I61" s="1">
        <v>0</v>
      </c>
      <c r="J61" s="1">
        <v>1</v>
      </c>
      <c r="K61" s="2">
        <v>0</v>
      </c>
      <c r="L61" s="1">
        <v>0</v>
      </c>
      <c r="M61" s="1">
        <v>0</v>
      </c>
      <c r="N61" s="1">
        <v>0</v>
      </c>
      <c r="O61" s="1">
        <v>0</v>
      </c>
      <c r="P61" s="1">
        <v>0</v>
      </c>
      <c r="Q61" s="1">
        <v>0</v>
      </c>
      <c r="R61" s="1">
        <v>0</v>
      </c>
      <c r="S61" s="1">
        <v>0</v>
      </c>
      <c r="T61" s="2">
        <v>0</v>
      </c>
      <c r="U61" s="2">
        <v>0</v>
      </c>
      <c r="V61" s="2">
        <v>1</v>
      </c>
      <c r="W61" s="1">
        <f t="shared" si="24"/>
        <v>2</v>
      </c>
      <c r="X61" s="1">
        <f t="shared" si="25"/>
        <v>0</v>
      </c>
      <c r="Y61" s="1">
        <f t="shared" si="26"/>
        <v>1</v>
      </c>
      <c r="Z61" s="1">
        <f t="shared" si="27"/>
        <v>3</v>
      </c>
      <c r="AA61" s="1">
        <f t="shared" si="20"/>
        <v>1.4285714285714284</v>
      </c>
      <c r="AB61" s="1">
        <f t="shared" si="21"/>
        <v>0</v>
      </c>
      <c r="AC61" s="1">
        <f t="shared" si="22"/>
        <v>0.71428571428571419</v>
      </c>
      <c r="AD61" s="1">
        <f t="shared" si="23"/>
        <v>0.71428571428571408</v>
      </c>
      <c r="AF61" s="4"/>
    </row>
    <row r="62" spans="2:32" s="32" customFormat="1" x14ac:dyDescent="0.3">
      <c r="B62" s="74" t="s">
        <v>107</v>
      </c>
      <c r="C62" s="74">
        <v>15</v>
      </c>
      <c r="D62" s="30"/>
      <c r="E62" s="31" t="s">
        <v>43</v>
      </c>
      <c r="F62" s="32">
        <v>1</v>
      </c>
      <c r="G62" s="32">
        <v>1</v>
      </c>
      <c r="H62" s="32">
        <v>1</v>
      </c>
      <c r="I62" s="32">
        <v>1</v>
      </c>
      <c r="J62" s="32">
        <v>0</v>
      </c>
      <c r="K62" s="33">
        <v>0</v>
      </c>
      <c r="L62" s="32">
        <v>0</v>
      </c>
      <c r="M62" s="32">
        <v>0</v>
      </c>
      <c r="N62" s="33">
        <v>1</v>
      </c>
      <c r="O62" s="33">
        <v>0</v>
      </c>
      <c r="P62" s="32">
        <v>0</v>
      </c>
      <c r="Q62" s="32">
        <v>0</v>
      </c>
      <c r="R62" s="33">
        <v>0</v>
      </c>
      <c r="S62" s="32">
        <v>1</v>
      </c>
      <c r="T62" s="33">
        <v>0</v>
      </c>
      <c r="U62" s="33">
        <v>1</v>
      </c>
      <c r="V62" s="33">
        <v>1</v>
      </c>
      <c r="W62" s="32">
        <f t="shared" si="24"/>
        <v>3</v>
      </c>
      <c r="X62" s="32">
        <f t="shared" si="25"/>
        <v>1</v>
      </c>
      <c r="Y62" s="32">
        <f t="shared" si="26"/>
        <v>3</v>
      </c>
      <c r="Z62" s="32">
        <f t="shared" si="27"/>
        <v>7</v>
      </c>
      <c r="AA62" s="32">
        <f t="shared" si="20"/>
        <v>2.1428571428571428</v>
      </c>
      <c r="AB62" s="32">
        <f t="shared" si="21"/>
        <v>1</v>
      </c>
      <c r="AC62" s="32">
        <f t="shared" si="22"/>
        <v>2.1428571428571428</v>
      </c>
      <c r="AD62" s="32">
        <f t="shared" si="23"/>
        <v>1.7619047619047619</v>
      </c>
    </row>
    <row r="63" spans="2:32" x14ac:dyDescent="0.3">
      <c r="B63" s="74"/>
      <c r="C63" s="74"/>
      <c r="D63" s="22"/>
      <c r="E63" s="3" t="s">
        <v>48</v>
      </c>
      <c r="F63" s="1">
        <v>2</v>
      </c>
      <c r="G63" s="1">
        <v>1</v>
      </c>
      <c r="H63" s="1">
        <v>1</v>
      </c>
      <c r="I63" s="1">
        <v>1</v>
      </c>
      <c r="J63" s="1">
        <v>1</v>
      </c>
      <c r="K63" s="1">
        <v>0</v>
      </c>
      <c r="L63" s="1">
        <v>0</v>
      </c>
      <c r="M63" s="1">
        <v>0</v>
      </c>
      <c r="N63" s="1">
        <v>1</v>
      </c>
      <c r="O63" s="1">
        <v>0</v>
      </c>
      <c r="P63" s="1">
        <v>0</v>
      </c>
      <c r="Q63" s="1">
        <v>0</v>
      </c>
      <c r="R63" s="1">
        <v>0</v>
      </c>
      <c r="S63" s="1">
        <v>1</v>
      </c>
      <c r="T63" s="1">
        <v>0</v>
      </c>
      <c r="U63" s="1">
        <v>0</v>
      </c>
      <c r="V63" s="2">
        <v>1</v>
      </c>
      <c r="W63" s="1">
        <f t="shared" si="24"/>
        <v>4</v>
      </c>
      <c r="X63" s="1">
        <f t="shared" si="25"/>
        <v>1</v>
      </c>
      <c r="Y63" s="1">
        <f t="shared" si="26"/>
        <v>2</v>
      </c>
      <c r="Z63" s="1">
        <f t="shared" si="27"/>
        <v>7</v>
      </c>
      <c r="AA63" s="1">
        <f t="shared" si="20"/>
        <v>2.8571428571428568</v>
      </c>
      <c r="AB63" s="1">
        <f t="shared" si="21"/>
        <v>1</v>
      </c>
      <c r="AC63" s="1">
        <f t="shared" si="22"/>
        <v>1.4285714285714284</v>
      </c>
      <c r="AD63" s="1">
        <f t="shared" si="23"/>
        <v>1.7619047619047616</v>
      </c>
    </row>
    <row r="64" spans="2:32" s="24" customFormat="1" x14ac:dyDescent="0.3">
      <c r="B64" s="74" t="s">
        <v>108</v>
      </c>
      <c r="C64" s="74">
        <v>16</v>
      </c>
      <c r="D64" s="25"/>
      <c r="E64" s="23" t="s">
        <v>43</v>
      </c>
      <c r="F64" s="24">
        <v>1</v>
      </c>
      <c r="G64" s="24">
        <v>1</v>
      </c>
      <c r="H64" s="24">
        <v>0</v>
      </c>
      <c r="I64" s="24">
        <v>1</v>
      </c>
      <c r="J64" s="24">
        <v>1</v>
      </c>
      <c r="K64" s="24">
        <v>0</v>
      </c>
      <c r="L64" s="24">
        <v>0</v>
      </c>
      <c r="M64" s="24">
        <v>1</v>
      </c>
      <c r="N64" s="24">
        <v>1</v>
      </c>
      <c r="O64" s="24">
        <v>0</v>
      </c>
      <c r="P64" s="24">
        <v>0</v>
      </c>
      <c r="Q64" s="24">
        <v>0</v>
      </c>
      <c r="R64" s="24">
        <v>0</v>
      </c>
      <c r="S64" s="24">
        <v>0</v>
      </c>
      <c r="T64" s="24">
        <v>0</v>
      </c>
      <c r="U64" s="24">
        <v>1</v>
      </c>
      <c r="V64" s="26">
        <v>1</v>
      </c>
      <c r="W64" s="24">
        <f t="shared" si="24"/>
        <v>3</v>
      </c>
      <c r="X64" s="24">
        <f t="shared" si="25"/>
        <v>2</v>
      </c>
      <c r="Y64" s="24">
        <f t="shared" si="26"/>
        <v>2</v>
      </c>
      <c r="Z64" s="24">
        <f t="shared" si="27"/>
        <v>7</v>
      </c>
      <c r="AA64" s="24">
        <f t="shared" si="20"/>
        <v>2.1428571428571428</v>
      </c>
      <c r="AB64" s="24">
        <f t="shared" si="21"/>
        <v>2</v>
      </c>
      <c r="AC64" s="24">
        <f t="shared" si="22"/>
        <v>1.4285714285714284</v>
      </c>
      <c r="AD64" s="24">
        <f t="shared" si="23"/>
        <v>1.857142857142857</v>
      </c>
    </row>
    <row r="65" spans="2:30" x14ac:dyDescent="0.3">
      <c r="B65" s="74"/>
      <c r="C65" s="74"/>
      <c r="D65" s="22"/>
      <c r="E65" s="3" t="s">
        <v>48</v>
      </c>
      <c r="F65" s="1">
        <v>0</v>
      </c>
      <c r="G65" s="1">
        <v>0</v>
      </c>
      <c r="H65" s="1">
        <v>0</v>
      </c>
      <c r="I65" s="1">
        <v>0</v>
      </c>
      <c r="J65" s="1">
        <v>1</v>
      </c>
      <c r="K65" s="1">
        <v>0</v>
      </c>
      <c r="L65" s="1">
        <v>0</v>
      </c>
      <c r="M65" s="1">
        <v>0</v>
      </c>
      <c r="N65" s="1">
        <v>0</v>
      </c>
      <c r="O65" s="1">
        <v>0</v>
      </c>
      <c r="P65" s="1">
        <v>0</v>
      </c>
      <c r="Q65" s="1">
        <v>0</v>
      </c>
      <c r="R65" s="1">
        <v>0</v>
      </c>
      <c r="S65" s="1">
        <v>0</v>
      </c>
      <c r="T65" s="1">
        <v>0</v>
      </c>
      <c r="U65" s="1">
        <v>0</v>
      </c>
      <c r="V65" s="2">
        <v>0</v>
      </c>
      <c r="W65" s="1">
        <f t="shared" si="24"/>
        <v>1</v>
      </c>
      <c r="X65" s="1">
        <f t="shared" si="25"/>
        <v>0</v>
      </c>
      <c r="Y65" s="1">
        <f t="shared" si="26"/>
        <v>0</v>
      </c>
      <c r="Z65" s="1">
        <f t="shared" si="27"/>
        <v>1</v>
      </c>
      <c r="AA65" s="1">
        <f t="shared" si="20"/>
        <v>0.71428571428571419</v>
      </c>
      <c r="AB65" s="1">
        <f t="shared" si="21"/>
        <v>0</v>
      </c>
      <c r="AC65" s="1">
        <f t="shared" si="22"/>
        <v>0</v>
      </c>
      <c r="AD65" s="1">
        <f t="shared" si="23"/>
        <v>0.23809523809523805</v>
      </c>
    </row>
    <row r="66" spans="2:30" x14ac:dyDescent="0.3">
      <c r="B66" s="74" t="s">
        <v>109</v>
      </c>
      <c r="C66" s="74">
        <v>17</v>
      </c>
      <c r="D66" s="22"/>
      <c r="E66" s="3" t="s">
        <v>43</v>
      </c>
      <c r="F66" s="1">
        <v>2</v>
      </c>
      <c r="G66" s="1">
        <v>0</v>
      </c>
      <c r="H66" s="1">
        <v>1</v>
      </c>
      <c r="I66" s="1">
        <v>0</v>
      </c>
      <c r="J66" s="1">
        <v>1</v>
      </c>
      <c r="K66" s="1">
        <v>0</v>
      </c>
      <c r="L66" s="1">
        <v>0</v>
      </c>
      <c r="M66" s="1">
        <v>0</v>
      </c>
      <c r="N66" s="1">
        <v>0</v>
      </c>
      <c r="O66" s="1">
        <v>0</v>
      </c>
      <c r="P66" s="1">
        <v>0</v>
      </c>
      <c r="Q66" s="1">
        <v>0</v>
      </c>
      <c r="R66" s="1">
        <v>0</v>
      </c>
      <c r="S66" s="1">
        <v>1</v>
      </c>
      <c r="T66" s="1">
        <v>0</v>
      </c>
      <c r="U66" s="1">
        <v>0</v>
      </c>
      <c r="V66" s="2">
        <v>1</v>
      </c>
      <c r="W66" s="1">
        <f t="shared" si="24"/>
        <v>2</v>
      </c>
      <c r="X66" s="1">
        <f t="shared" si="25"/>
        <v>0</v>
      </c>
      <c r="Y66" s="1">
        <f t="shared" si="26"/>
        <v>2</v>
      </c>
      <c r="Z66" s="1">
        <f t="shared" si="27"/>
        <v>4</v>
      </c>
      <c r="AA66" s="1">
        <f t="shared" si="20"/>
        <v>1.4285714285714284</v>
      </c>
      <c r="AB66" s="1">
        <f t="shared" si="21"/>
        <v>0</v>
      </c>
      <c r="AC66" s="1">
        <f t="shared" si="22"/>
        <v>1.4285714285714284</v>
      </c>
      <c r="AD66" s="1">
        <f t="shared" si="23"/>
        <v>0.95238095238095222</v>
      </c>
    </row>
    <row r="67" spans="2:30" s="24" customFormat="1" x14ac:dyDescent="0.3">
      <c r="B67" s="74"/>
      <c r="C67" s="74"/>
      <c r="D67" s="25"/>
      <c r="E67" s="23" t="s">
        <v>48</v>
      </c>
      <c r="F67" s="24">
        <v>2</v>
      </c>
      <c r="G67" s="24">
        <v>1</v>
      </c>
      <c r="H67" s="24">
        <v>1</v>
      </c>
      <c r="I67" s="24">
        <v>0</v>
      </c>
      <c r="J67" s="24">
        <v>1</v>
      </c>
      <c r="K67" s="24">
        <v>1</v>
      </c>
      <c r="L67" s="24">
        <v>0</v>
      </c>
      <c r="M67" s="24">
        <v>0</v>
      </c>
      <c r="N67" s="24">
        <v>0</v>
      </c>
      <c r="O67" s="24">
        <v>1</v>
      </c>
      <c r="P67" s="24">
        <v>0</v>
      </c>
      <c r="Q67" s="24">
        <v>0</v>
      </c>
      <c r="R67" s="24">
        <v>0</v>
      </c>
      <c r="S67" s="24">
        <v>1</v>
      </c>
      <c r="T67" s="24">
        <v>0</v>
      </c>
      <c r="U67" s="24">
        <v>0</v>
      </c>
      <c r="V67" s="26">
        <v>1</v>
      </c>
      <c r="W67" s="24">
        <f t="shared" si="24"/>
        <v>4</v>
      </c>
      <c r="X67" s="24">
        <f t="shared" si="25"/>
        <v>1</v>
      </c>
      <c r="Y67" s="24">
        <f t="shared" si="26"/>
        <v>2</v>
      </c>
      <c r="Z67" s="24">
        <f t="shared" si="27"/>
        <v>7</v>
      </c>
      <c r="AA67" s="24">
        <f t="shared" si="20"/>
        <v>2.8571428571428568</v>
      </c>
      <c r="AB67" s="24">
        <f t="shared" si="21"/>
        <v>1</v>
      </c>
      <c r="AC67" s="24">
        <f t="shared" si="22"/>
        <v>1.4285714285714284</v>
      </c>
      <c r="AD67" s="24">
        <f t="shared" si="23"/>
        <v>1.7619047619047616</v>
      </c>
    </row>
    <row r="68" spans="2:30" s="32" customFormat="1" x14ac:dyDescent="0.3">
      <c r="B68" s="74" t="s">
        <v>110</v>
      </c>
      <c r="C68" s="74">
        <v>18</v>
      </c>
      <c r="D68" s="30"/>
      <c r="E68" s="31" t="s">
        <v>43</v>
      </c>
      <c r="F68" s="32">
        <v>1</v>
      </c>
      <c r="G68" s="32">
        <v>1</v>
      </c>
      <c r="H68" s="32">
        <v>1</v>
      </c>
      <c r="I68" s="32">
        <v>1</v>
      </c>
      <c r="J68" s="32">
        <v>0</v>
      </c>
      <c r="K68" s="32">
        <v>0</v>
      </c>
      <c r="L68" s="32">
        <v>0</v>
      </c>
      <c r="M68" s="32">
        <v>0</v>
      </c>
      <c r="N68" s="32">
        <v>1</v>
      </c>
      <c r="O68" s="32">
        <v>0</v>
      </c>
      <c r="P68" s="32">
        <v>0</v>
      </c>
      <c r="Q68" s="32">
        <v>0</v>
      </c>
      <c r="R68" s="32">
        <v>0</v>
      </c>
      <c r="S68" s="32">
        <v>1</v>
      </c>
      <c r="T68" s="32">
        <v>0</v>
      </c>
      <c r="U68" s="32">
        <v>1</v>
      </c>
      <c r="V68" s="33">
        <v>0</v>
      </c>
      <c r="W68" s="32">
        <f t="shared" si="24"/>
        <v>3</v>
      </c>
      <c r="X68" s="32">
        <f t="shared" si="25"/>
        <v>1</v>
      </c>
      <c r="Y68" s="32">
        <f t="shared" si="26"/>
        <v>2</v>
      </c>
      <c r="Z68" s="32">
        <f t="shared" si="27"/>
        <v>6</v>
      </c>
      <c r="AA68" s="32">
        <f t="shared" si="20"/>
        <v>2.1428571428571428</v>
      </c>
      <c r="AB68" s="32">
        <f t="shared" si="21"/>
        <v>1</v>
      </c>
      <c r="AC68" s="32">
        <f t="shared" si="22"/>
        <v>1.4285714285714284</v>
      </c>
      <c r="AD68" s="32">
        <f t="shared" si="23"/>
        <v>1.5238095238095237</v>
      </c>
    </row>
    <row r="69" spans="2:30" x14ac:dyDescent="0.3">
      <c r="B69" s="74"/>
      <c r="C69" s="74"/>
      <c r="D69" s="22"/>
      <c r="E69" s="3" t="s">
        <v>48</v>
      </c>
      <c r="F69" s="1">
        <v>1</v>
      </c>
      <c r="G69" s="1">
        <v>1</v>
      </c>
      <c r="H69" s="1">
        <v>1</v>
      </c>
      <c r="I69" s="1">
        <v>1</v>
      </c>
      <c r="J69" s="1">
        <v>0</v>
      </c>
      <c r="K69" s="1">
        <v>0</v>
      </c>
      <c r="L69" s="1">
        <v>0</v>
      </c>
      <c r="M69" s="1">
        <v>0</v>
      </c>
      <c r="N69" s="1">
        <v>1</v>
      </c>
      <c r="O69" s="1">
        <v>0</v>
      </c>
      <c r="P69" s="1">
        <v>0</v>
      </c>
      <c r="Q69" s="1">
        <v>0</v>
      </c>
      <c r="R69" s="1">
        <v>0</v>
      </c>
      <c r="S69" s="1">
        <v>1</v>
      </c>
      <c r="T69" s="1">
        <v>0</v>
      </c>
      <c r="U69" s="1">
        <v>1</v>
      </c>
      <c r="V69" s="2">
        <v>0</v>
      </c>
      <c r="W69" s="1">
        <f t="shared" si="24"/>
        <v>3</v>
      </c>
      <c r="X69" s="1">
        <f t="shared" si="25"/>
        <v>1</v>
      </c>
      <c r="Y69" s="1">
        <f t="shared" si="26"/>
        <v>2</v>
      </c>
      <c r="Z69" s="1">
        <f t="shared" si="27"/>
        <v>6</v>
      </c>
      <c r="AA69" s="1">
        <f t="shared" si="20"/>
        <v>2.1428571428571428</v>
      </c>
      <c r="AB69" s="1">
        <f t="shared" si="21"/>
        <v>1</v>
      </c>
      <c r="AC69" s="1">
        <f t="shared" si="22"/>
        <v>1.4285714285714284</v>
      </c>
      <c r="AD69" s="1">
        <f t="shared" si="23"/>
        <v>1.5238095238095237</v>
      </c>
    </row>
    <row r="70" spans="2:30" x14ac:dyDescent="0.3">
      <c r="B70" s="74" t="s">
        <v>111</v>
      </c>
      <c r="C70" s="74">
        <v>19</v>
      </c>
      <c r="D70" s="22"/>
      <c r="E70" s="3" t="s">
        <v>43</v>
      </c>
      <c r="F70" s="1">
        <v>0</v>
      </c>
      <c r="G70" s="1">
        <v>1</v>
      </c>
      <c r="H70" s="1">
        <v>0</v>
      </c>
      <c r="I70" s="1">
        <v>0</v>
      </c>
      <c r="J70" s="1">
        <v>1</v>
      </c>
      <c r="K70" s="1">
        <v>0</v>
      </c>
      <c r="L70" s="1">
        <v>0</v>
      </c>
      <c r="M70" s="1">
        <v>1</v>
      </c>
      <c r="N70" s="1">
        <v>1</v>
      </c>
      <c r="O70" s="1">
        <v>0</v>
      </c>
      <c r="P70" s="1">
        <v>0</v>
      </c>
      <c r="Q70" s="1">
        <v>0</v>
      </c>
      <c r="R70" s="1">
        <v>0</v>
      </c>
      <c r="S70" s="1">
        <v>1</v>
      </c>
      <c r="T70" s="1">
        <v>0</v>
      </c>
      <c r="U70" s="1">
        <v>1</v>
      </c>
      <c r="V70" s="2">
        <v>1</v>
      </c>
      <c r="W70" s="1">
        <f t="shared" si="24"/>
        <v>2</v>
      </c>
      <c r="X70" s="1">
        <f t="shared" si="25"/>
        <v>2</v>
      </c>
      <c r="Y70" s="1">
        <f t="shared" si="26"/>
        <v>3</v>
      </c>
      <c r="Z70" s="1">
        <f t="shared" si="27"/>
        <v>7</v>
      </c>
      <c r="AA70" s="1">
        <f t="shared" si="20"/>
        <v>1.4285714285714284</v>
      </c>
      <c r="AB70" s="1">
        <f t="shared" si="21"/>
        <v>2</v>
      </c>
      <c r="AC70" s="1">
        <f t="shared" si="22"/>
        <v>2.1428571428571428</v>
      </c>
      <c r="AD70" s="1">
        <f t="shared" si="23"/>
        <v>1.857142857142857</v>
      </c>
    </row>
    <row r="71" spans="2:30" s="24" customFormat="1" x14ac:dyDescent="0.3">
      <c r="B71" s="74"/>
      <c r="C71" s="74"/>
      <c r="D71" s="25"/>
      <c r="E71" s="23" t="s">
        <v>48</v>
      </c>
      <c r="F71" s="24">
        <v>2</v>
      </c>
      <c r="G71" s="24">
        <v>1</v>
      </c>
      <c r="H71" s="24">
        <v>1</v>
      </c>
      <c r="I71" s="24">
        <v>0</v>
      </c>
      <c r="J71" s="24">
        <v>1</v>
      </c>
      <c r="K71" s="24">
        <v>0</v>
      </c>
      <c r="L71" s="24">
        <v>0</v>
      </c>
      <c r="M71" s="24">
        <v>1</v>
      </c>
      <c r="N71" s="24">
        <v>1</v>
      </c>
      <c r="O71" s="24">
        <v>0</v>
      </c>
      <c r="P71" s="24">
        <v>0</v>
      </c>
      <c r="Q71" s="24">
        <v>0</v>
      </c>
      <c r="R71" s="24">
        <v>0</v>
      </c>
      <c r="S71" s="24">
        <v>1</v>
      </c>
      <c r="T71" s="24">
        <v>0</v>
      </c>
      <c r="U71" s="24">
        <v>1</v>
      </c>
      <c r="V71" s="26">
        <v>1</v>
      </c>
      <c r="W71" s="24">
        <f t="shared" si="24"/>
        <v>3</v>
      </c>
      <c r="X71" s="24">
        <f>SUM(M71:Q71)</f>
        <v>2</v>
      </c>
      <c r="Y71" s="24">
        <f t="shared" si="26"/>
        <v>3</v>
      </c>
      <c r="Z71" s="24">
        <f t="shared" si="27"/>
        <v>8</v>
      </c>
      <c r="AA71" s="24">
        <f t="shared" si="20"/>
        <v>2.1428571428571428</v>
      </c>
      <c r="AB71" s="24">
        <f t="shared" si="21"/>
        <v>2</v>
      </c>
      <c r="AC71" s="24">
        <f t="shared" si="22"/>
        <v>2.1428571428571428</v>
      </c>
      <c r="AD71" s="24">
        <f t="shared" si="23"/>
        <v>2.0952380952380949</v>
      </c>
    </row>
    <row r="72" spans="2:30" s="32" customFormat="1" x14ac:dyDescent="0.3">
      <c r="B72" s="74" t="s">
        <v>99</v>
      </c>
      <c r="C72" s="74">
        <v>7</v>
      </c>
      <c r="D72" s="30"/>
      <c r="E72" s="31" t="s">
        <v>43</v>
      </c>
      <c r="F72" s="32">
        <v>2</v>
      </c>
      <c r="G72" s="32">
        <v>0</v>
      </c>
      <c r="H72" s="32">
        <v>1</v>
      </c>
      <c r="I72" s="32">
        <v>0</v>
      </c>
      <c r="J72" s="32">
        <v>1</v>
      </c>
      <c r="K72" s="32">
        <v>0</v>
      </c>
      <c r="L72" s="32">
        <v>0</v>
      </c>
      <c r="M72" s="32">
        <v>0</v>
      </c>
      <c r="N72" s="32">
        <v>0</v>
      </c>
      <c r="O72" s="32">
        <v>0</v>
      </c>
      <c r="P72" s="32">
        <v>0</v>
      </c>
      <c r="Q72" s="32">
        <v>0</v>
      </c>
      <c r="R72" s="32">
        <v>1</v>
      </c>
      <c r="S72" s="32">
        <v>0</v>
      </c>
      <c r="T72" s="32">
        <v>0</v>
      </c>
      <c r="U72" s="32">
        <v>0</v>
      </c>
      <c r="V72" s="33">
        <v>1</v>
      </c>
      <c r="W72" s="32">
        <f t="shared" si="24"/>
        <v>2</v>
      </c>
      <c r="X72" s="32">
        <f t="shared" si="25"/>
        <v>0</v>
      </c>
      <c r="Y72" s="32">
        <f t="shared" si="26"/>
        <v>2</v>
      </c>
      <c r="Z72" s="32">
        <f t="shared" si="27"/>
        <v>4</v>
      </c>
      <c r="AA72" s="32">
        <f t="shared" si="20"/>
        <v>1.4285714285714284</v>
      </c>
      <c r="AB72" s="32">
        <f t="shared" si="21"/>
        <v>0</v>
      </c>
      <c r="AC72" s="32">
        <f t="shared" si="22"/>
        <v>1.4285714285714284</v>
      </c>
      <c r="AD72" s="32">
        <f t="shared" si="23"/>
        <v>0.95238095238095222</v>
      </c>
    </row>
    <row r="73" spans="2:30" x14ac:dyDescent="0.3">
      <c r="B73" s="74"/>
      <c r="C73" s="74"/>
      <c r="D73" s="22"/>
      <c r="E73" s="3" t="s">
        <v>48</v>
      </c>
      <c r="F73" s="1">
        <v>2</v>
      </c>
      <c r="G73" s="1">
        <v>0</v>
      </c>
      <c r="H73" s="1">
        <v>1</v>
      </c>
      <c r="I73" s="1">
        <v>0</v>
      </c>
      <c r="J73" s="1">
        <v>1</v>
      </c>
      <c r="K73" s="1">
        <v>0</v>
      </c>
      <c r="L73" s="1">
        <v>0</v>
      </c>
      <c r="M73" s="1">
        <v>0</v>
      </c>
      <c r="N73" s="1">
        <v>0</v>
      </c>
      <c r="O73" s="1">
        <v>0</v>
      </c>
      <c r="P73" s="1">
        <v>0</v>
      </c>
      <c r="Q73" s="1">
        <v>0</v>
      </c>
      <c r="R73" s="1">
        <v>1</v>
      </c>
      <c r="S73" s="1">
        <v>0</v>
      </c>
      <c r="T73" s="1">
        <v>0</v>
      </c>
      <c r="U73" s="1">
        <v>0</v>
      </c>
      <c r="V73" s="2">
        <v>1</v>
      </c>
      <c r="W73" s="1">
        <f t="shared" si="24"/>
        <v>2</v>
      </c>
      <c r="X73" s="1">
        <f t="shared" si="25"/>
        <v>0</v>
      </c>
      <c r="Y73" s="1">
        <f t="shared" si="26"/>
        <v>2</v>
      </c>
      <c r="Z73" s="1">
        <f t="shared" si="27"/>
        <v>4</v>
      </c>
      <c r="AA73" s="1">
        <f t="shared" si="20"/>
        <v>1.4285714285714284</v>
      </c>
      <c r="AB73" s="1">
        <f t="shared" si="21"/>
        <v>0</v>
      </c>
      <c r="AC73" s="1">
        <f t="shared" si="22"/>
        <v>1.4285714285714284</v>
      </c>
      <c r="AD73" s="1">
        <f t="shared" si="23"/>
        <v>0.95238095238095222</v>
      </c>
    </row>
    <row r="74" spans="2:30" x14ac:dyDescent="0.3">
      <c r="B74" s="74" t="s">
        <v>100</v>
      </c>
      <c r="C74" s="74">
        <v>8</v>
      </c>
      <c r="D74" s="22"/>
      <c r="E74" s="3" t="s">
        <v>43</v>
      </c>
      <c r="F74" s="1">
        <v>0</v>
      </c>
      <c r="W74" s="1">
        <f t="shared" si="24"/>
        <v>0</v>
      </c>
      <c r="X74" s="1">
        <f t="shared" si="25"/>
        <v>0</v>
      </c>
      <c r="Y74" s="1">
        <f t="shared" si="26"/>
        <v>0</v>
      </c>
      <c r="Z74" s="1">
        <f t="shared" si="27"/>
        <v>0</v>
      </c>
      <c r="AA74" s="1">
        <f t="shared" si="20"/>
        <v>0</v>
      </c>
      <c r="AB74" s="1">
        <f t="shared" si="21"/>
        <v>0</v>
      </c>
      <c r="AC74" s="1">
        <f t="shared" si="22"/>
        <v>0</v>
      </c>
      <c r="AD74" s="1">
        <f t="shared" si="23"/>
        <v>0</v>
      </c>
    </row>
    <row r="75" spans="2:30" s="24" customFormat="1" x14ac:dyDescent="0.3">
      <c r="B75" s="74"/>
      <c r="C75" s="74"/>
      <c r="D75" s="25"/>
      <c r="E75" s="23" t="s">
        <v>48</v>
      </c>
      <c r="F75" s="24">
        <v>3</v>
      </c>
      <c r="G75" s="24">
        <v>1</v>
      </c>
      <c r="H75" s="24">
        <v>1</v>
      </c>
      <c r="I75" s="24">
        <v>0</v>
      </c>
      <c r="J75" s="24">
        <v>1</v>
      </c>
      <c r="K75" s="24">
        <v>1</v>
      </c>
      <c r="L75" s="24">
        <v>0</v>
      </c>
      <c r="M75" s="24">
        <v>1</v>
      </c>
      <c r="N75" s="24">
        <v>0</v>
      </c>
      <c r="O75" s="24">
        <v>1</v>
      </c>
      <c r="P75" s="24">
        <v>0</v>
      </c>
      <c r="Q75" s="24">
        <v>0</v>
      </c>
      <c r="R75" s="24">
        <v>0</v>
      </c>
      <c r="S75" s="24">
        <v>1</v>
      </c>
      <c r="T75" s="24">
        <v>0</v>
      </c>
      <c r="U75" s="24">
        <v>0</v>
      </c>
      <c r="V75" s="26">
        <v>1</v>
      </c>
      <c r="W75" s="24">
        <f t="shared" ref="W75:W87" si="28">SUM(G75:L75)</f>
        <v>4</v>
      </c>
      <c r="X75" s="24">
        <f t="shared" ref="X75:X87" si="29">SUM(M75:Q75)</f>
        <v>2</v>
      </c>
      <c r="Y75" s="24">
        <f t="shared" ref="Y75:Y87" si="30">SUM(R75:V75)</f>
        <v>2</v>
      </c>
      <c r="Z75" s="24">
        <f t="shared" ref="Z75:Z87" si="31">SUM(W75:Y75)</f>
        <v>8</v>
      </c>
      <c r="AA75" s="24">
        <f t="shared" si="20"/>
        <v>2.8571428571428568</v>
      </c>
      <c r="AB75" s="24">
        <f t="shared" si="21"/>
        <v>2</v>
      </c>
      <c r="AC75" s="24">
        <f t="shared" si="22"/>
        <v>1.4285714285714284</v>
      </c>
      <c r="AD75" s="24">
        <f t="shared" si="23"/>
        <v>2.0952380952380949</v>
      </c>
    </row>
    <row r="76" spans="2:30" x14ac:dyDescent="0.3">
      <c r="B76" s="74" t="s">
        <v>101</v>
      </c>
      <c r="C76" s="74">
        <v>9</v>
      </c>
      <c r="D76" s="22"/>
      <c r="E76" s="3" t="s">
        <v>43</v>
      </c>
      <c r="F76" s="1">
        <v>0</v>
      </c>
      <c r="W76" s="1">
        <f t="shared" si="28"/>
        <v>0</v>
      </c>
      <c r="X76" s="1">
        <f t="shared" si="29"/>
        <v>0</v>
      </c>
      <c r="Y76" s="1">
        <f t="shared" si="30"/>
        <v>0</v>
      </c>
      <c r="Z76" s="1">
        <f t="shared" si="31"/>
        <v>0</v>
      </c>
      <c r="AA76" s="1">
        <f t="shared" si="20"/>
        <v>0</v>
      </c>
      <c r="AB76" s="1">
        <f t="shared" si="21"/>
        <v>0</v>
      </c>
      <c r="AC76" s="1">
        <f t="shared" si="22"/>
        <v>0</v>
      </c>
      <c r="AD76" s="1">
        <f t="shared" si="23"/>
        <v>0</v>
      </c>
    </row>
    <row r="77" spans="2:30" s="24" customFormat="1" x14ac:dyDescent="0.3">
      <c r="B77" s="74"/>
      <c r="C77" s="74"/>
      <c r="D77" s="25"/>
      <c r="E77" s="23" t="s">
        <v>48</v>
      </c>
      <c r="F77" s="24">
        <v>3</v>
      </c>
      <c r="G77" s="24">
        <v>1</v>
      </c>
      <c r="H77" s="24">
        <v>1</v>
      </c>
      <c r="I77" s="24">
        <v>0</v>
      </c>
      <c r="J77" s="24">
        <v>1</v>
      </c>
      <c r="K77" s="24">
        <v>1</v>
      </c>
      <c r="L77" s="24">
        <v>0</v>
      </c>
      <c r="M77" s="24">
        <v>1</v>
      </c>
      <c r="N77" s="24">
        <v>0</v>
      </c>
      <c r="O77" s="24">
        <v>1</v>
      </c>
      <c r="P77" s="24">
        <v>0</v>
      </c>
      <c r="Q77" s="24">
        <v>0</v>
      </c>
      <c r="R77" s="24">
        <v>0</v>
      </c>
      <c r="S77" s="24">
        <v>1</v>
      </c>
      <c r="T77" s="24">
        <v>0</v>
      </c>
      <c r="U77" s="24">
        <v>0</v>
      </c>
      <c r="V77" s="26">
        <v>1</v>
      </c>
      <c r="W77" s="24">
        <f t="shared" si="28"/>
        <v>4</v>
      </c>
      <c r="X77" s="24">
        <f t="shared" si="29"/>
        <v>2</v>
      </c>
      <c r="Y77" s="24">
        <f t="shared" si="30"/>
        <v>2</v>
      </c>
      <c r="Z77" s="24">
        <f t="shared" si="31"/>
        <v>8</v>
      </c>
      <c r="AA77" s="24">
        <f t="shared" si="20"/>
        <v>2.8571428571428568</v>
      </c>
      <c r="AB77" s="24">
        <f t="shared" si="21"/>
        <v>2</v>
      </c>
      <c r="AC77" s="24">
        <f t="shared" si="22"/>
        <v>1.4285714285714284</v>
      </c>
      <c r="AD77" s="24">
        <f t="shared" si="23"/>
        <v>2.0952380952380949</v>
      </c>
    </row>
    <row r="78" spans="2:30" s="32" customFormat="1" x14ac:dyDescent="0.3">
      <c r="B78" s="74" t="s">
        <v>102</v>
      </c>
      <c r="C78" s="74">
        <v>10</v>
      </c>
      <c r="D78" s="30"/>
      <c r="E78" s="31" t="s">
        <v>43</v>
      </c>
      <c r="F78" s="32">
        <v>2</v>
      </c>
      <c r="G78" s="32">
        <v>1</v>
      </c>
      <c r="H78" s="32">
        <v>1</v>
      </c>
      <c r="I78" s="32">
        <v>0</v>
      </c>
      <c r="J78" s="32">
        <v>1</v>
      </c>
      <c r="K78" s="32">
        <v>1</v>
      </c>
      <c r="L78" s="32">
        <v>0</v>
      </c>
      <c r="M78" s="32">
        <v>0</v>
      </c>
      <c r="N78" s="32">
        <v>0</v>
      </c>
      <c r="O78" s="32">
        <v>0</v>
      </c>
      <c r="P78" s="32">
        <v>0</v>
      </c>
      <c r="Q78" s="32">
        <v>0</v>
      </c>
      <c r="R78" s="32">
        <v>0</v>
      </c>
      <c r="S78" s="32">
        <v>1</v>
      </c>
      <c r="T78" s="32">
        <v>0</v>
      </c>
      <c r="U78" s="32">
        <v>0</v>
      </c>
      <c r="V78" s="33">
        <v>1</v>
      </c>
      <c r="W78" s="32">
        <f t="shared" si="28"/>
        <v>4</v>
      </c>
      <c r="X78" s="32">
        <f t="shared" si="29"/>
        <v>0</v>
      </c>
      <c r="Y78" s="32">
        <f t="shared" si="30"/>
        <v>2</v>
      </c>
      <c r="Z78" s="32">
        <f t="shared" si="31"/>
        <v>6</v>
      </c>
      <c r="AA78" s="32">
        <f t="shared" si="20"/>
        <v>2.8571428571428568</v>
      </c>
      <c r="AB78" s="32">
        <f t="shared" si="21"/>
        <v>0</v>
      </c>
      <c r="AC78" s="32">
        <f t="shared" si="22"/>
        <v>1.4285714285714284</v>
      </c>
      <c r="AD78" s="32">
        <f t="shared" si="23"/>
        <v>1.4285714285714282</v>
      </c>
    </row>
    <row r="79" spans="2:30" x14ac:dyDescent="0.3">
      <c r="B79" s="74"/>
      <c r="C79" s="74"/>
      <c r="D79" s="22"/>
      <c r="E79" s="3" t="s">
        <v>48</v>
      </c>
      <c r="F79" s="1">
        <v>2</v>
      </c>
      <c r="G79" s="1">
        <v>1</v>
      </c>
      <c r="H79" s="1">
        <v>1</v>
      </c>
      <c r="I79" s="1">
        <v>0</v>
      </c>
      <c r="J79" s="1">
        <v>1</v>
      </c>
      <c r="K79" s="1">
        <v>1</v>
      </c>
      <c r="L79" s="1">
        <v>0</v>
      </c>
      <c r="M79" s="1">
        <v>0</v>
      </c>
      <c r="N79" s="1">
        <v>0</v>
      </c>
      <c r="O79" s="1">
        <v>0</v>
      </c>
      <c r="P79" s="1">
        <v>0</v>
      </c>
      <c r="Q79" s="1">
        <v>0</v>
      </c>
      <c r="R79" s="1">
        <v>0</v>
      </c>
      <c r="S79" s="1">
        <v>1</v>
      </c>
      <c r="T79" s="1">
        <v>0</v>
      </c>
      <c r="U79" s="1">
        <v>0</v>
      </c>
      <c r="V79" s="2">
        <v>1</v>
      </c>
      <c r="W79" s="1">
        <f t="shared" si="28"/>
        <v>4</v>
      </c>
      <c r="X79" s="1">
        <f t="shared" si="29"/>
        <v>0</v>
      </c>
      <c r="Y79" s="1">
        <f t="shared" si="30"/>
        <v>2</v>
      </c>
      <c r="Z79" s="1">
        <f t="shared" si="31"/>
        <v>6</v>
      </c>
      <c r="AA79" s="1">
        <f t="shared" si="20"/>
        <v>2.8571428571428568</v>
      </c>
      <c r="AB79" s="1">
        <f t="shared" si="21"/>
        <v>0</v>
      </c>
      <c r="AC79" s="1">
        <f t="shared" si="22"/>
        <v>1.4285714285714284</v>
      </c>
      <c r="AD79" s="1">
        <f t="shared" si="23"/>
        <v>1.4285714285714282</v>
      </c>
    </row>
    <row r="80" spans="2:30" s="32" customFormat="1" x14ac:dyDescent="0.3">
      <c r="B80" s="74" t="s">
        <v>103</v>
      </c>
      <c r="C80" s="74">
        <v>11</v>
      </c>
      <c r="D80" s="30"/>
      <c r="E80" s="31" t="s">
        <v>43</v>
      </c>
      <c r="F80" s="32">
        <v>1</v>
      </c>
      <c r="G80" s="32">
        <v>1</v>
      </c>
      <c r="H80" s="32">
        <v>1</v>
      </c>
      <c r="I80" s="32">
        <v>1</v>
      </c>
      <c r="J80" s="32">
        <v>0</v>
      </c>
      <c r="K80" s="32">
        <v>0</v>
      </c>
      <c r="L80" s="32">
        <v>0</v>
      </c>
      <c r="M80" s="32">
        <v>0</v>
      </c>
      <c r="N80" s="32">
        <v>1</v>
      </c>
      <c r="O80" s="32">
        <v>0</v>
      </c>
      <c r="P80" s="32">
        <v>0</v>
      </c>
      <c r="Q80" s="32">
        <v>0</v>
      </c>
      <c r="R80" s="32">
        <v>0</v>
      </c>
      <c r="S80" s="32">
        <v>1</v>
      </c>
      <c r="T80" s="32">
        <v>0</v>
      </c>
      <c r="U80" s="32">
        <v>1</v>
      </c>
      <c r="V80" s="33">
        <v>1</v>
      </c>
      <c r="W80" s="32">
        <f t="shared" si="28"/>
        <v>3</v>
      </c>
      <c r="X80" s="32">
        <f t="shared" si="29"/>
        <v>1</v>
      </c>
      <c r="Y80" s="32">
        <f t="shared" si="30"/>
        <v>3</v>
      </c>
      <c r="Z80" s="32">
        <f t="shared" si="31"/>
        <v>7</v>
      </c>
      <c r="AA80" s="32">
        <f t="shared" si="20"/>
        <v>2.1428571428571428</v>
      </c>
      <c r="AB80" s="32">
        <f t="shared" si="21"/>
        <v>1</v>
      </c>
      <c r="AC80" s="32">
        <f t="shared" si="22"/>
        <v>2.1428571428571428</v>
      </c>
      <c r="AD80" s="32">
        <f t="shared" si="23"/>
        <v>1.7619047619047619</v>
      </c>
    </row>
    <row r="81" spans="2:30" x14ac:dyDescent="0.3">
      <c r="B81" s="74"/>
      <c r="C81" s="74"/>
      <c r="D81" s="22"/>
      <c r="E81" s="3" t="s">
        <v>48</v>
      </c>
      <c r="F81" s="1">
        <v>1</v>
      </c>
      <c r="G81" s="1">
        <v>1</v>
      </c>
      <c r="H81" s="1">
        <v>1</v>
      </c>
      <c r="I81" s="1">
        <v>1</v>
      </c>
      <c r="J81" s="1">
        <v>0</v>
      </c>
      <c r="K81" s="1">
        <v>0</v>
      </c>
      <c r="L81" s="1">
        <v>0</v>
      </c>
      <c r="M81" s="1">
        <v>0</v>
      </c>
      <c r="N81" s="1">
        <v>1</v>
      </c>
      <c r="O81" s="1">
        <v>0</v>
      </c>
      <c r="P81" s="1">
        <v>0</v>
      </c>
      <c r="Q81" s="1">
        <v>0</v>
      </c>
      <c r="R81" s="1">
        <v>0</v>
      </c>
      <c r="S81" s="1">
        <v>1</v>
      </c>
      <c r="T81" s="1">
        <v>0</v>
      </c>
      <c r="U81" s="1">
        <v>1</v>
      </c>
      <c r="V81" s="2">
        <v>1</v>
      </c>
      <c r="W81" s="1">
        <f t="shared" si="28"/>
        <v>3</v>
      </c>
      <c r="X81" s="1">
        <f t="shared" si="29"/>
        <v>1</v>
      </c>
      <c r="Y81" s="1">
        <f t="shared" si="30"/>
        <v>3</v>
      </c>
      <c r="Z81" s="1">
        <f t="shared" si="31"/>
        <v>7</v>
      </c>
      <c r="AA81" s="1">
        <f t="shared" si="20"/>
        <v>2.1428571428571428</v>
      </c>
      <c r="AB81" s="1">
        <f t="shared" si="21"/>
        <v>1</v>
      </c>
      <c r="AC81" s="1">
        <f t="shared" si="22"/>
        <v>2.1428571428571428</v>
      </c>
      <c r="AD81" s="1">
        <f t="shared" si="23"/>
        <v>1.7619047619047619</v>
      </c>
    </row>
    <row r="82" spans="2:30" s="32" customFormat="1" x14ac:dyDescent="0.3">
      <c r="B82" s="74" t="s">
        <v>104</v>
      </c>
      <c r="C82" s="74">
        <v>12</v>
      </c>
      <c r="D82" s="30"/>
      <c r="E82" s="31" t="s">
        <v>43</v>
      </c>
      <c r="F82" s="32">
        <v>1</v>
      </c>
      <c r="G82" s="32">
        <v>1</v>
      </c>
      <c r="H82" s="32">
        <v>1</v>
      </c>
      <c r="I82" s="32">
        <v>0</v>
      </c>
      <c r="J82" s="32">
        <v>0</v>
      </c>
      <c r="K82" s="32">
        <v>0</v>
      </c>
      <c r="L82" s="32">
        <v>0</v>
      </c>
      <c r="M82" s="32">
        <v>0</v>
      </c>
      <c r="N82" s="32">
        <v>1</v>
      </c>
      <c r="O82" s="32">
        <v>0</v>
      </c>
      <c r="P82" s="32">
        <v>1</v>
      </c>
      <c r="Q82" s="32">
        <v>0</v>
      </c>
      <c r="R82" s="32">
        <v>0</v>
      </c>
      <c r="S82" s="32">
        <v>1</v>
      </c>
      <c r="T82" s="32">
        <v>0</v>
      </c>
      <c r="U82" s="32">
        <v>1</v>
      </c>
      <c r="V82" s="33">
        <v>1</v>
      </c>
      <c r="W82" s="32">
        <f t="shared" si="28"/>
        <v>2</v>
      </c>
      <c r="X82" s="32">
        <f t="shared" si="29"/>
        <v>2</v>
      </c>
      <c r="Y82" s="32">
        <f t="shared" si="30"/>
        <v>3</v>
      </c>
      <c r="Z82" s="32">
        <f t="shared" si="31"/>
        <v>7</v>
      </c>
      <c r="AA82" s="32">
        <f t="shared" si="20"/>
        <v>1.4285714285714284</v>
      </c>
      <c r="AB82" s="32">
        <f t="shared" si="21"/>
        <v>2</v>
      </c>
      <c r="AC82" s="32">
        <f t="shared" si="22"/>
        <v>2.1428571428571428</v>
      </c>
      <c r="AD82" s="32">
        <f t="shared" si="23"/>
        <v>1.857142857142857</v>
      </c>
    </row>
    <row r="83" spans="2:30" x14ac:dyDescent="0.3">
      <c r="B83" s="74"/>
      <c r="C83" s="74"/>
      <c r="D83" s="22"/>
      <c r="E83" s="3" t="s">
        <v>48</v>
      </c>
      <c r="F83" s="1">
        <v>1</v>
      </c>
      <c r="G83" s="1">
        <v>1</v>
      </c>
      <c r="H83" s="1">
        <v>1</v>
      </c>
      <c r="I83" s="1">
        <v>0</v>
      </c>
      <c r="J83" s="1">
        <v>0</v>
      </c>
      <c r="K83" s="1">
        <v>0</v>
      </c>
      <c r="L83" s="1">
        <v>0</v>
      </c>
      <c r="M83" s="1">
        <v>0</v>
      </c>
      <c r="N83" s="1">
        <v>1</v>
      </c>
      <c r="O83" s="1">
        <v>0</v>
      </c>
      <c r="P83" s="1">
        <v>1</v>
      </c>
      <c r="Q83" s="1">
        <v>0</v>
      </c>
      <c r="R83" s="1">
        <v>0</v>
      </c>
      <c r="S83" s="1">
        <v>1</v>
      </c>
      <c r="T83" s="1">
        <v>0</v>
      </c>
      <c r="U83" s="1">
        <v>1</v>
      </c>
      <c r="V83" s="2">
        <v>1</v>
      </c>
      <c r="W83" s="1">
        <f t="shared" si="28"/>
        <v>2</v>
      </c>
      <c r="X83" s="1">
        <f t="shared" si="29"/>
        <v>2</v>
      </c>
      <c r="Y83" s="1">
        <f t="shared" si="30"/>
        <v>3</v>
      </c>
      <c r="Z83" s="1">
        <f t="shared" si="31"/>
        <v>7</v>
      </c>
      <c r="AA83" s="1">
        <f t="shared" si="20"/>
        <v>1.4285714285714284</v>
      </c>
      <c r="AB83" s="1">
        <f t="shared" si="21"/>
        <v>2</v>
      </c>
      <c r="AC83" s="1">
        <f t="shared" si="22"/>
        <v>2.1428571428571428</v>
      </c>
      <c r="AD83" s="1">
        <f t="shared" si="23"/>
        <v>1.857142857142857</v>
      </c>
    </row>
    <row r="84" spans="2:30" x14ac:dyDescent="0.3">
      <c r="B84" s="74" t="s">
        <v>105</v>
      </c>
      <c r="C84" s="74">
        <v>13</v>
      </c>
      <c r="D84" s="22"/>
      <c r="E84" s="3" t="s">
        <v>43</v>
      </c>
      <c r="F84" s="1">
        <v>0</v>
      </c>
      <c r="W84" s="1">
        <f t="shared" si="28"/>
        <v>0</v>
      </c>
      <c r="X84" s="1">
        <f t="shared" si="29"/>
        <v>0</v>
      </c>
      <c r="Y84" s="1">
        <f t="shared" si="30"/>
        <v>0</v>
      </c>
      <c r="Z84" s="1">
        <f t="shared" si="31"/>
        <v>0</v>
      </c>
      <c r="AA84" s="1">
        <f t="shared" si="20"/>
        <v>0</v>
      </c>
      <c r="AB84" s="1">
        <f t="shared" si="21"/>
        <v>0</v>
      </c>
      <c r="AC84" s="1">
        <f t="shared" si="22"/>
        <v>0</v>
      </c>
      <c r="AD84" s="1">
        <f t="shared" si="23"/>
        <v>0</v>
      </c>
    </row>
    <row r="85" spans="2:30" s="24" customFormat="1" x14ac:dyDescent="0.3">
      <c r="B85" s="74"/>
      <c r="C85" s="74"/>
      <c r="D85" s="25"/>
      <c r="E85" s="23" t="s">
        <v>48</v>
      </c>
      <c r="F85" s="24">
        <v>1</v>
      </c>
      <c r="G85" s="24">
        <v>1</v>
      </c>
      <c r="H85" s="24">
        <v>1</v>
      </c>
      <c r="I85" s="24">
        <v>0</v>
      </c>
      <c r="J85" s="24">
        <v>0</v>
      </c>
      <c r="K85" s="24">
        <v>0</v>
      </c>
      <c r="L85" s="24">
        <v>0</v>
      </c>
      <c r="M85" s="24">
        <v>0</v>
      </c>
      <c r="N85" s="24">
        <v>1</v>
      </c>
      <c r="O85" s="24">
        <v>0</v>
      </c>
      <c r="P85" s="24">
        <v>0</v>
      </c>
      <c r="Q85" s="24">
        <v>0</v>
      </c>
      <c r="R85" s="24">
        <v>0</v>
      </c>
      <c r="S85" s="24">
        <v>1</v>
      </c>
      <c r="T85" s="24">
        <v>0</v>
      </c>
      <c r="U85" s="24">
        <v>1</v>
      </c>
      <c r="V85" s="26">
        <v>1</v>
      </c>
      <c r="W85" s="24">
        <f t="shared" si="28"/>
        <v>2</v>
      </c>
      <c r="X85" s="24">
        <f t="shared" si="29"/>
        <v>1</v>
      </c>
      <c r="Y85" s="24">
        <f t="shared" si="30"/>
        <v>3</v>
      </c>
      <c r="Z85" s="24">
        <f t="shared" si="31"/>
        <v>6</v>
      </c>
      <c r="AA85" s="24">
        <f t="shared" si="20"/>
        <v>1.4285714285714284</v>
      </c>
      <c r="AB85" s="24">
        <f t="shared" si="21"/>
        <v>1</v>
      </c>
      <c r="AC85" s="24">
        <f t="shared" si="22"/>
        <v>2.1428571428571428</v>
      </c>
      <c r="AD85" s="24">
        <f t="shared" si="23"/>
        <v>1.5238095238095237</v>
      </c>
    </row>
    <row r="86" spans="2:30" s="32" customFormat="1" x14ac:dyDescent="0.3">
      <c r="B86" s="74" t="s">
        <v>106</v>
      </c>
      <c r="C86" s="74">
        <v>14</v>
      </c>
      <c r="D86" s="30"/>
      <c r="E86" s="31" t="s">
        <v>43</v>
      </c>
      <c r="F86" s="32">
        <v>1</v>
      </c>
      <c r="G86" s="32">
        <v>0</v>
      </c>
      <c r="H86" s="32">
        <v>1</v>
      </c>
      <c r="I86" s="32">
        <v>0</v>
      </c>
      <c r="J86" s="32">
        <v>1</v>
      </c>
      <c r="K86" s="32">
        <v>0</v>
      </c>
      <c r="L86" s="32">
        <v>0</v>
      </c>
      <c r="M86" s="32">
        <v>0</v>
      </c>
      <c r="N86" s="32">
        <v>0</v>
      </c>
      <c r="O86" s="32">
        <v>0</v>
      </c>
      <c r="P86" s="32">
        <v>0</v>
      </c>
      <c r="Q86" s="32">
        <v>0</v>
      </c>
      <c r="R86" s="32">
        <v>0</v>
      </c>
      <c r="S86" s="32">
        <v>1</v>
      </c>
      <c r="T86" s="32">
        <v>0</v>
      </c>
      <c r="U86" s="32">
        <v>0</v>
      </c>
      <c r="V86" s="33">
        <v>1</v>
      </c>
      <c r="W86" s="32">
        <f t="shared" si="28"/>
        <v>2</v>
      </c>
      <c r="X86" s="32">
        <f t="shared" si="29"/>
        <v>0</v>
      </c>
      <c r="Y86" s="32">
        <f t="shared" si="30"/>
        <v>2</v>
      </c>
      <c r="Z86" s="32">
        <f t="shared" si="31"/>
        <v>4</v>
      </c>
      <c r="AA86" s="32">
        <f t="shared" si="20"/>
        <v>1.4285714285714284</v>
      </c>
      <c r="AB86" s="32">
        <f t="shared" si="21"/>
        <v>0</v>
      </c>
      <c r="AC86" s="32">
        <f t="shared" si="22"/>
        <v>1.4285714285714284</v>
      </c>
      <c r="AD86" s="32">
        <f t="shared" si="23"/>
        <v>0.95238095238095222</v>
      </c>
    </row>
    <row r="87" spans="2:30" x14ac:dyDescent="0.3">
      <c r="B87" s="74"/>
      <c r="C87" s="74"/>
      <c r="D87" s="22"/>
      <c r="E87" s="3" t="s">
        <v>48</v>
      </c>
      <c r="F87" s="1">
        <v>1</v>
      </c>
      <c r="G87" s="1">
        <v>0</v>
      </c>
      <c r="H87" s="1">
        <v>1</v>
      </c>
      <c r="I87" s="1">
        <v>0</v>
      </c>
      <c r="J87" s="1">
        <v>1</v>
      </c>
      <c r="K87" s="1">
        <v>0</v>
      </c>
      <c r="L87" s="1">
        <v>0</v>
      </c>
      <c r="M87" s="1">
        <v>0</v>
      </c>
      <c r="N87" s="1">
        <v>0</v>
      </c>
      <c r="O87" s="1">
        <v>0</v>
      </c>
      <c r="P87" s="1">
        <v>0</v>
      </c>
      <c r="Q87" s="1">
        <v>0</v>
      </c>
      <c r="R87" s="1">
        <v>0</v>
      </c>
      <c r="S87" s="1">
        <v>1</v>
      </c>
      <c r="T87" s="1">
        <v>0</v>
      </c>
      <c r="U87" s="1">
        <v>0</v>
      </c>
      <c r="V87" s="2">
        <v>1</v>
      </c>
      <c r="W87" s="1">
        <f t="shared" si="28"/>
        <v>2</v>
      </c>
      <c r="X87" s="1">
        <f t="shared" si="29"/>
        <v>0</v>
      </c>
      <c r="Y87" s="1">
        <f t="shared" si="30"/>
        <v>2</v>
      </c>
      <c r="Z87" s="1">
        <f t="shared" si="31"/>
        <v>4</v>
      </c>
      <c r="AA87" s="1">
        <f t="shared" si="20"/>
        <v>1.4285714285714284</v>
      </c>
      <c r="AB87" s="1">
        <f t="shared" si="21"/>
        <v>0</v>
      </c>
      <c r="AC87" s="1">
        <f t="shared" si="22"/>
        <v>1.4285714285714284</v>
      </c>
      <c r="AD87" s="1">
        <f t="shared" si="23"/>
        <v>0.95238095238095222</v>
      </c>
    </row>
  </sheetData>
  <mergeCells count="85">
    <mergeCell ref="B48:B49"/>
    <mergeCell ref="C48:C49"/>
    <mergeCell ref="B40:B41"/>
    <mergeCell ref="C40:C41"/>
    <mergeCell ref="B42:B43"/>
    <mergeCell ref="C42:C43"/>
    <mergeCell ref="B44:B45"/>
    <mergeCell ref="C44:C45"/>
    <mergeCell ref="B34:B35"/>
    <mergeCell ref="C34:C35"/>
    <mergeCell ref="B36:B37"/>
    <mergeCell ref="C36:C37"/>
    <mergeCell ref="B38:B39"/>
    <mergeCell ref="C38:C39"/>
    <mergeCell ref="B24:B25"/>
    <mergeCell ref="C24:C25"/>
    <mergeCell ref="B6:B7"/>
    <mergeCell ref="B8:B9"/>
    <mergeCell ref="B10:B11"/>
    <mergeCell ref="B12:B13"/>
    <mergeCell ref="B14:B15"/>
    <mergeCell ref="B16:B17"/>
    <mergeCell ref="B18:B19"/>
    <mergeCell ref="B20:B21"/>
    <mergeCell ref="B22:B23"/>
    <mergeCell ref="C12:C13"/>
    <mergeCell ref="C14:C15"/>
    <mergeCell ref="C16:C17"/>
    <mergeCell ref="C18:C19"/>
    <mergeCell ref="C20:C21"/>
    <mergeCell ref="C22:C23"/>
    <mergeCell ref="G1:L1"/>
    <mergeCell ref="M1:Q1"/>
    <mergeCell ref="R1:V1"/>
    <mergeCell ref="C6:C7"/>
    <mergeCell ref="C8:C9"/>
    <mergeCell ref="C10:C11"/>
    <mergeCell ref="B32:B33"/>
    <mergeCell ref="C32:C33"/>
    <mergeCell ref="B26:B27"/>
    <mergeCell ref="C26:C27"/>
    <mergeCell ref="B28:B29"/>
    <mergeCell ref="C28:C29"/>
    <mergeCell ref="B30:B31"/>
    <mergeCell ref="C30:C31"/>
    <mergeCell ref="B50:B51"/>
    <mergeCell ref="C50:C51"/>
    <mergeCell ref="B52:B53"/>
    <mergeCell ref="C52:C53"/>
    <mergeCell ref="B54:B55"/>
    <mergeCell ref="C54:C55"/>
    <mergeCell ref="B56:B57"/>
    <mergeCell ref="C56:C57"/>
    <mergeCell ref="B58:B59"/>
    <mergeCell ref="C58:C59"/>
    <mergeCell ref="B60:B61"/>
    <mergeCell ref="C60:C61"/>
    <mergeCell ref="B62:B63"/>
    <mergeCell ref="C62:C63"/>
    <mergeCell ref="B64:B65"/>
    <mergeCell ref="C64:C65"/>
    <mergeCell ref="B66:B67"/>
    <mergeCell ref="C66:C67"/>
    <mergeCell ref="B68:B69"/>
    <mergeCell ref="C68:C69"/>
    <mergeCell ref="B70:B71"/>
    <mergeCell ref="C70:C71"/>
    <mergeCell ref="B72:B73"/>
    <mergeCell ref="C72:C73"/>
    <mergeCell ref="B86:B87"/>
    <mergeCell ref="C86:C87"/>
    <mergeCell ref="B46:C47"/>
    <mergeCell ref="D46:H47"/>
    <mergeCell ref="B80:B81"/>
    <mergeCell ref="C80:C81"/>
    <mergeCell ref="B82:B83"/>
    <mergeCell ref="C82:C83"/>
    <mergeCell ref="B84:B85"/>
    <mergeCell ref="C84:C85"/>
    <mergeCell ref="B74:B75"/>
    <mergeCell ref="C74:C75"/>
    <mergeCell ref="B76:B77"/>
    <mergeCell ref="C76:C77"/>
    <mergeCell ref="B78:B79"/>
    <mergeCell ref="C78:C79"/>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5730-9354-4714-81F2-63A6F7EF56E7}">
  <dimension ref="A1:H15"/>
  <sheetViews>
    <sheetView workbookViewId="0">
      <selection activeCell="H12" sqref="H12"/>
    </sheetView>
  </sheetViews>
  <sheetFormatPr defaultRowHeight="14.4" x14ac:dyDescent="0.3"/>
  <cols>
    <col min="2" max="2" width="14.44140625" bestFit="1" customWidth="1"/>
    <col min="3" max="3" width="10.88671875" customWidth="1"/>
    <col min="4" max="4" width="13.6640625" bestFit="1" customWidth="1"/>
    <col min="5" max="5" width="14.109375" bestFit="1" customWidth="1"/>
    <col min="6" max="6" width="11" customWidth="1"/>
    <col min="7" max="7" width="18.5546875" bestFit="1" customWidth="1"/>
    <col min="8" max="8" width="10" bestFit="1" customWidth="1"/>
  </cols>
  <sheetData>
    <row r="1" spans="1:8" x14ac:dyDescent="0.3">
      <c r="B1" t="s">
        <v>258</v>
      </c>
    </row>
    <row r="2" spans="1:8" ht="14.4" customHeight="1" x14ac:dyDescent="0.3">
      <c r="A2" s="52"/>
      <c r="B2" s="77" t="s">
        <v>259</v>
      </c>
      <c r="C2" s="77"/>
      <c r="D2" s="77"/>
      <c r="E2" s="77" t="s">
        <v>260</v>
      </c>
      <c r="F2" s="77"/>
      <c r="G2" s="77"/>
      <c r="H2" s="77" t="s">
        <v>261</v>
      </c>
    </row>
    <row r="3" spans="1:8" x14ac:dyDescent="0.3">
      <c r="A3" s="52"/>
      <c r="B3" s="52" t="s">
        <v>262</v>
      </c>
      <c r="C3" s="52" t="s">
        <v>263</v>
      </c>
      <c r="D3" s="52" t="s">
        <v>264</v>
      </c>
      <c r="E3" s="52" t="s">
        <v>265</v>
      </c>
      <c r="F3" s="52" t="s">
        <v>263</v>
      </c>
      <c r="G3" s="52" t="s">
        <v>266</v>
      </c>
      <c r="H3" s="77"/>
    </row>
    <row r="4" spans="1:8" x14ac:dyDescent="0.3">
      <c r="A4" s="52" t="s">
        <v>267</v>
      </c>
      <c r="B4" s="52">
        <v>1028</v>
      </c>
      <c r="C4" s="52">
        <v>1845</v>
      </c>
      <c r="D4" s="52">
        <f>B4*100/C4</f>
        <v>55.718157181571819</v>
      </c>
      <c r="E4" s="52">
        <v>15</v>
      </c>
      <c r="F4" s="52">
        <v>18</v>
      </c>
      <c r="G4" s="52">
        <f>E4*100/F4</f>
        <v>83.333333333333329</v>
      </c>
      <c r="H4" s="52">
        <f>D5-G4</f>
        <v>-39.248511904761898</v>
      </c>
    </row>
    <row r="5" spans="1:8" x14ac:dyDescent="0.3">
      <c r="A5" s="52" t="s">
        <v>268</v>
      </c>
      <c r="B5" s="52">
        <v>395</v>
      </c>
      <c r="C5" s="52">
        <v>896</v>
      </c>
      <c r="D5" s="52">
        <f t="shared" ref="D5:D7" si="0">B5*100/C5</f>
        <v>44.084821428571431</v>
      </c>
      <c r="E5" s="52">
        <v>13</v>
      </c>
      <c r="F5" s="52">
        <v>30</v>
      </c>
      <c r="G5" s="52">
        <f t="shared" ref="G5:G7" si="1">E5*100/F5</f>
        <v>43.333333333333336</v>
      </c>
      <c r="H5" s="52">
        <f t="shared" ref="H5:H7" si="2">D6-G5</f>
        <v>14.085064292779421</v>
      </c>
    </row>
    <row r="6" spans="1:8" x14ac:dyDescent="0.3">
      <c r="A6" s="52" t="s">
        <v>138</v>
      </c>
      <c r="B6" s="52">
        <v>387</v>
      </c>
      <c r="C6" s="52">
        <v>674</v>
      </c>
      <c r="D6" s="52">
        <f t="shared" si="0"/>
        <v>57.418397626112757</v>
      </c>
      <c r="E6" s="52">
        <v>17</v>
      </c>
      <c r="F6" s="52">
        <v>23</v>
      </c>
      <c r="G6" s="52">
        <f t="shared" si="1"/>
        <v>73.913043478260875</v>
      </c>
      <c r="H6" s="52">
        <f t="shared" si="2"/>
        <v>-41.008894694283761</v>
      </c>
    </row>
    <row r="7" spans="1:8" x14ac:dyDescent="0.3">
      <c r="A7" s="52" t="s">
        <v>41</v>
      </c>
      <c r="B7" s="52">
        <v>230</v>
      </c>
      <c r="C7" s="52">
        <v>699</v>
      </c>
      <c r="D7" s="52">
        <f t="shared" si="0"/>
        <v>32.904148783977114</v>
      </c>
      <c r="E7" s="52">
        <v>10</v>
      </c>
      <c r="F7" s="52">
        <v>21</v>
      </c>
      <c r="G7" s="52">
        <f t="shared" si="1"/>
        <v>47.61904761904762</v>
      </c>
      <c r="H7" s="52">
        <f t="shared" si="2"/>
        <v>-47.61904761904762</v>
      </c>
    </row>
    <row r="9" spans="1:8" x14ac:dyDescent="0.3">
      <c r="B9" t="s">
        <v>269</v>
      </c>
    </row>
    <row r="10" spans="1:8" x14ac:dyDescent="0.3">
      <c r="A10" s="52"/>
      <c r="B10" s="77" t="s">
        <v>259</v>
      </c>
      <c r="C10" s="77"/>
      <c r="D10" s="77"/>
      <c r="E10" s="77" t="s">
        <v>260</v>
      </c>
      <c r="F10" s="77"/>
      <c r="G10" s="77"/>
      <c r="H10" s="77" t="s">
        <v>261</v>
      </c>
    </row>
    <row r="11" spans="1:8" x14ac:dyDescent="0.3">
      <c r="A11" s="52"/>
      <c r="B11" s="52" t="s">
        <v>262</v>
      </c>
      <c r="C11" s="52" t="s">
        <v>263</v>
      </c>
      <c r="D11" s="52" t="s">
        <v>264</v>
      </c>
      <c r="E11" s="52" t="s">
        <v>265</v>
      </c>
      <c r="F11" s="52" t="s">
        <v>263</v>
      </c>
      <c r="G11" s="52" t="s">
        <v>266</v>
      </c>
      <c r="H11" s="77"/>
    </row>
    <row r="12" spans="1:8" x14ac:dyDescent="0.3">
      <c r="A12" s="52" t="s">
        <v>267</v>
      </c>
      <c r="B12" s="52">
        <v>28285.4</v>
      </c>
      <c r="C12" s="52">
        <v>128901</v>
      </c>
      <c r="D12" s="52">
        <f>B12*100/C12</f>
        <v>21.943507032528839</v>
      </c>
      <c r="E12" s="52">
        <f>E4*20</f>
        <v>300</v>
      </c>
      <c r="F12" s="52">
        <f>F4*20</f>
        <v>360</v>
      </c>
      <c r="G12" s="52">
        <f>E12*100/F12</f>
        <v>83.333333333333329</v>
      </c>
      <c r="H12" s="52">
        <f>D12-G12</f>
        <v>-61.389826300804486</v>
      </c>
    </row>
    <row r="13" spans="1:8" x14ac:dyDescent="0.3">
      <c r="A13" s="52" t="s">
        <v>268</v>
      </c>
      <c r="B13" s="52">
        <v>9388.76</v>
      </c>
      <c r="C13" s="52">
        <v>63252.5</v>
      </c>
      <c r="D13" s="52">
        <f t="shared" ref="D13:D15" si="3">B13*100/C13</f>
        <v>14.843302636259436</v>
      </c>
      <c r="E13" s="52">
        <f t="shared" ref="E13:F15" si="4">E5*20</f>
        <v>260</v>
      </c>
      <c r="F13" s="52">
        <f t="shared" si="4"/>
        <v>600</v>
      </c>
      <c r="G13" s="52">
        <f t="shared" ref="G13:G15" si="5">E13*100/F13</f>
        <v>43.333333333333336</v>
      </c>
      <c r="H13" s="52">
        <f t="shared" ref="H13:H15" si="6">D13-G13</f>
        <v>-28.490030697073898</v>
      </c>
    </row>
    <row r="14" spans="1:8" x14ac:dyDescent="0.3">
      <c r="A14" s="52" t="s">
        <v>138</v>
      </c>
      <c r="B14" s="52">
        <v>14450.5</v>
      </c>
      <c r="C14" s="52">
        <v>70952</v>
      </c>
      <c r="D14" s="52">
        <f t="shared" si="3"/>
        <v>20.366585860863683</v>
      </c>
      <c r="E14" s="52">
        <f t="shared" si="4"/>
        <v>340</v>
      </c>
      <c r="F14" s="52">
        <f t="shared" si="4"/>
        <v>460</v>
      </c>
      <c r="G14" s="52">
        <f t="shared" si="5"/>
        <v>73.913043478260875</v>
      </c>
      <c r="H14" s="52">
        <f t="shared" si="6"/>
        <v>-53.546457617397195</v>
      </c>
    </row>
    <row r="15" spans="1:8" x14ac:dyDescent="0.3">
      <c r="A15" s="52" t="s">
        <v>41</v>
      </c>
      <c r="B15" s="52">
        <v>6388.29</v>
      </c>
      <c r="C15" s="52">
        <v>78520.100000000006</v>
      </c>
      <c r="D15" s="52">
        <f t="shared" si="3"/>
        <v>8.1358658483623927</v>
      </c>
      <c r="E15" s="52">
        <f t="shared" si="4"/>
        <v>200</v>
      </c>
      <c r="F15" s="52">
        <f t="shared" si="4"/>
        <v>420</v>
      </c>
      <c r="G15" s="52">
        <f t="shared" si="5"/>
        <v>47.61904761904762</v>
      </c>
      <c r="H15" s="52">
        <f t="shared" si="6"/>
        <v>-39.483181770685228</v>
      </c>
    </row>
  </sheetData>
  <mergeCells count="6">
    <mergeCell ref="B2:D2"/>
    <mergeCell ref="E2:G2"/>
    <mergeCell ref="H2:H3"/>
    <mergeCell ref="B10:D10"/>
    <mergeCell ref="E10:G10"/>
    <mergeCell ref="H10:H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0D18-9902-46E7-B28F-85E4887834BB}">
  <dimension ref="A1:AN22"/>
  <sheetViews>
    <sheetView workbookViewId="0">
      <selection activeCell="D3" sqref="D3"/>
    </sheetView>
  </sheetViews>
  <sheetFormatPr defaultRowHeight="14.4" x14ac:dyDescent="0.3"/>
  <cols>
    <col min="1" max="1" width="17" customWidth="1"/>
    <col min="2" max="2" width="28.5546875" customWidth="1"/>
    <col min="6" max="6" width="10.5546875" customWidth="1"/>
    <col min="8" max="8" width="16.44140625" customWidth="1"/>
    <col min="34" max="34" width="16.109375" customWidth="1"/>
  </cols>
  <sheetData>
    <row r="1" spans="1:36" s="1" customFormat="1" ht="69" customHeight="1" x14ac:dyDescent="0.3">
      <c r="B1" s="22"/>
      <c r="C1" s="3"/>
      <c r="D1" s="22"/>
      <c r="E1" s="22"/>
      <c r="F1" s="22"/>
      <c r="G1" s="3"/>
      <c r="H1" s="3"/>
      <c r="J1" s="66" t="s">
        <v>0</v>
      </c>
      <c r="K1" s="67"/>
      <c r="L1" s="67"/>
      <c r="M1" s="67"/>
      <c r="N1" s="67"/>
      <c r="O1" s="67"/>
      <c r="P1" s="68" t="s">
        <v>31</v>
      </c>
      <c r="Q1" s="69"/>
      <c r="R1" s="69"/>
      <c r="S1" s="69"/>
      <c r="T1" s="70"/>
      <c r="U1" s="71" t="s">
        <v>32</v>
      </c>
      <c r="V1" s="71"/>
      <c r="W1" s="71"/>
      <c r="X1" s="71"/>
      <c r="Y1" s="71"/>
      <c r="Z1" s="20"/>
      <c r="AA1" s="20"/>
    </row>
    <row r="2" spans="1:36" s="10" customFormat="1" ht="153" customHeight="1" x14ac:dyDescent="0.3">
      <c r="A2" s="21" t="s">
        <v>33</v>
      </c>
      <c r="B2" s="39" t="s">
        <v>34</v>
      </c>
      <c r="C2" s="21" t="s">
        <v>4</v>
      </c>
      <c r="D2" s="39" t="s">
        <v>35</v>
      </c>
      <c r="E2" s="39" t="s">
        <v>36</v>
      </c>
      <c r="F2" s="39" t="s">
        <v>37</v>
      </c>
      <c r="G2" s="39" t="s">
        <v>38</v>
      </c>
      <c r="H2" s="39" t="s">
        <v>39</v>
      </c>
      <c r="I2" s="19" t="s">
        <v>5</v>
      </c>
      <c r="J2" s="17" t="s">
        <v>6</v>
      </c>
      <c r="K2" s="17" t="s">
        <v>7</v>
      </c>
      <c r="L2" s="17" t="s">
        <v>8</v>
      </c>
      <c r="M2" s="17" t="s">
        <v>9</v>
      </c>
      <c r="N2" s="17" t="s">
        <v>10</v>
      </c>
      <c r="O2" s="17" t="s">
        <v>11</v>
      </c>
      <c r="P2" s="17" t="s">
        <v>12</v>
      </c>
      <c r="Q2" s="18" t="s">
        <v>13</v>
      </c>
      <c r="R2" s="17" t="s">
        <v>14</v>
      </c>
      <c r="S2" s="17" t="s">
        <v>15</v>
      </c>
      <c r="T2" s="18" t="s">
        <v>16</v>
      </c>
      <c r="U2" s="17" t="s">
        <v>17</v>
      </c>
      <c r="V2" s="17" t="s">
        <v>18</v>
      </c>
      <c r="W2" s="17" t="s">
        <v>19</v>
      </c>
      <c r="X2" s="17" t="s">
        <v>20</v>
      </c>
      <c r="Y2" s="16" t="s">
        <v>21</v>
      </c>
      <c r="Z2" s="15" t="s">
        <v>22</v>
      </c>
      <c r="AA2" s="14" t="s">
        <v>23</v>
      </c>
      <c r="AB2" s="13" t="s">
        <v>24</v>
      </c>
      <c r="AC2" s="12" t="s">
        <v>25</v>
      </c>
      <c r="AD2" s="15" t="s">
        <v>26</v>
      </c>
      <c r="AE2" s="14" t="s">
        <v>27</v>
      </c>
      <c r="AF2" s="13" t="s">
        <v>28</v>
      </c>
      <c r="AG2" s="12" t="s">
        <v>29</v>
      </c>
      <c r="AH2" s="41" t="s">
        <v>40</v>
      </c>
      <c r="AI2" s="11" t="s">
        <v>30</v>
      </c>
    </row>
    <row r="3" spans="1:36" s="1" customFormat="1" x14ac:dyDescent="0.3">
      <c r="A3" s="1" t="s">
        <v>87</v>
      </c>
      <c r="B3" s="22" t="s">
        <v>94</v>
      </c>
      <c r="C3" s="22">
        <v>3</v>
      </c>
      <c r="D3" s="22"/>
      <c r="E3" s="22"/>
      <c r="F3" s="22"/>
      <c r="G3" s="3" t="s">
        <v>43</v>
      </c>
      <c r="H3" s="3"/>
      <c r="N3" s="2"/>
      <c r="Q3" s="2"/>
      <c r="W3" s="2"/>
      <c r="X3" s="2"/>
      <c r="Y3" s="2"/>
      <c r="Z3" s="1">
        <f t="shared" ref="Z3:Z21" si="0">SUM(J3:O3)</f>
        <v>0</v>
      </c>
      <c r="AA3" s="1">
        <f t="shared" ref="AA3:AA11" si="1">SUM(P3:T3)</f>
        <v>0</v>
      </c>
      <c r="AB3" s="1">
        <f t="shared" ref="AB3:AB21" si="2">SUM(U3:Y3)</f>
        <v>0</v>
      </c>
      <c r="AC3" s="1">
        <f t="shared" ref="AC3:AC21" si="3">SUM(Z3:AB3)</f>
        <v>0</v>
      </c>
      <c r="AD3" s="1">
        <f t="shared" ref="AD3:AD21" si="4">Z3/6*5</f>
        <v>0</v>
      </c>
      <c r="AE3" s="1">
        <f t="shared" ref="AE3:AE21" si="5">AA3/5*5</f>
        <v>0</v>
      </c>
      <c r="AF3" s="1">
        <f t="shared" ref="AF3:AF21" si="6" xml:space="preserve"> AB3/5*5</f>
        <v>0</v>
      </c>
      <c r="AG3" s="1">
        <f t="shared" ref="AG3:AG6" si="7">SUM(AD3:AF3)/3</f>
        <v>0</v>
      </c>
      <c r="AJ3" s="6"/>
    </row>
    <row r="4" spans="1:36" s="1" customFormat="1" x14ac:dyDescent="0.3">
      <c r="A4" s="1" t="s">
        <v>87</v>
      </c>
      <c r="B4" s="22" t="s">
        <v>97</v>
      </c>
      <c r="C4" s="22">
        <v>6</v>
      </c>
      <c r="D4" s="22"/>
      <c r="E4" s="22"/>
      <c r="F4" s="22"/>
      <c r="G4" s="3" t="s">
        <v>89</v>
      </c>
      <c r="H4" s="3"/>
      <c r="N4" s="2"/>
      <c r="W4" s="2"/>
      <c r="X4" s="2"/>
      <c r="Y4" s="2"/>
      <c r="Z4" s="1">
        <f t="shared" si="0"/>
        <v>0</v>
      </c>
      <c r="AA4" s="1">
        <f t="shared" si="1"/>
        <v>0</v>
      </c>
      <c r="AB4" s="1">
        <f t="shared" si="2"/>
        <v>0</v>
      </c>
      <c r="AC4" s="1">
        <f t="shared" si="3"/>
        <v>0</v>
      </c>
      <c r="AD4" s="1">
        <f t="shared" si="4"/>
        <v>0</v>
      </c>
      <c r="AE4" s="1">
        <f t="shared" si="5"/>
        <v>0</v>
      </c>
      <c r="AF4" s="1">
        <f t="shared" si="6"/>
        <v>0</v>
      </c>
      <c r="AG4" s="1">
        <f t="shared" si="7"/>
        <v>0</v>
      </c>
      <c r="AJ4" s="4"/>
    </row>
    <row r="5" spans="1:36" s="1" customFormat="1" x14ac:dyDescent="0.3">
      <c r="A5" s="1" t="s">
        <v>87</v>
      </c>
      <c r="B5" s="22" t="s">
        <v>108</v>
      </c>
      <c r="C5" s="22">
        <v>16</v>
      </c>
      <c r="D5" s="22"/>
      <c r="E5" s="22"/>
      <c r="F5" s="22"/>
      <c r="G5" s="3" t="s">
        <v>43</v>
      </c>
      <c r="H5" s="3"/>
      <c r="Y5" s="2"/>
      <c r="Z5" s="1">
        <f t="shared" si="0"/>
        <v>0</v>
      </c>
      <c r="AA5" s="1">
        <f t="shared" si="1"/>
        <v>0</v>
      </c>
      <c r="AB5" s="1">
        <f t="shared" si="2"/>
        <v>0</v>
      </c>
      <c r="AC5" s="1">
        <f t="shared" si="3"/>
        <v>0</v>
      </c>
      <c r="AD5" s="1">
        <f t="shared" si="4"/>
        <v>0</v>
      </c>
      <c r="AE5" s="1">
        <f t="shared" si="5"/>
        <v>0</v>
      </c>
      <c r="AF5" s="1">
        <f t="shared" si="6"/>
        <v>0</v>
      </c>
      <c r="AG5" s="1">
        <f t="shared" si="7"/>
        <v>0</v>
      </c>
    </row>
    <row r="6" spans="1:36" s="1" customFormat="1" x14ac:dyDescent="0.3">
      <c r="A6" s="1" t="s">
        <v>87</v>
      </c>
      <c r="B6" s="22" t="s">
        <v>117</v>
      </c>
      <c r="C6" s="22">
        <v>25</v>
      </c>
      <c r="D6" s="22"/>
      <c r="E6" s="22"/>
      <c r="F6" s="22"/>
      <c r="G6" s="3" t="s">
        <v>50</v>
      </c>
      <c r="H6" s="3"/>
      <c r="Y6" s="2"/>
      <c r="Z6" s="1">
        <f t="shared" si="0"/>
        <v>0</v>
      </c>
      <c r="AA6" s="1">
        <f t="shared" si="1"/>
        <v>0</v>
      </c>
      <c r="AB6" s="1">
        <f t="shared" si="2"/>
        <v>0</v>
      </c>
      <c r="AC6" s="1">
        <f t="shared" si="3"/>
        <v>0</v>
      </c>
      <c r="AD6" s="1">
        <f t="shared" si="4"/>
        <v>0</v>
      </c>
      <c r="AE6" s="1">
        <f t="shared" si="5"/>
        <v>0</v>
      </c>
      <c r="AF6" s="1">
        <f t="shared" si="6"/>
        <v>0</v>
      </c>
      <c r="AG6" s="1">
        <f t="shared" si="7"/>
        <v>0</v>
      </c>
      <c r="AH6" s="1" t="s">
        <v>118</v>
      </c>
    </row>
    <row r="7" spans="1:36" s="1" customFormat="1" x14ac:dyDescent="0.3">
      <c r="A7" s="1" t="s">
        <v>87</v>
      </c>
      <c r="B7" s="22" t="s">
        <v>137</v>
      </c>
      <c r="C7" s="22">
        <v>36</v>
      </c>
      <c r="D7" s="22"/>
      <c r="E7" s="22"/>
      <c r="F7" s="22"/>
      <c r="G7" s="3" t="s">
        <v>48</v>
      </c>
      <c r="H7" s="3" t="s">
        <v>46</v>
      </c>
      <c r="Y7" s="2"/>
      <c r="Z7" s="1">
        <f t="shared" si="0"/>
        <v>0</v>
      </c>
      <c r="AA7" s="1">
        <f t="shared" si="1"/>
        <v>0</v>
      </c>
      <c r="AB7" s="1">
        <f t="shared" si="2"/>
        <v>0</v>
      </c>
      <c r="AC7" s="1">
        <f t="shared" si="3"/>
        <v>0</v>
      </c>
      <c r="AD7" s="1">
        <f t="shared" si="4"/>
        <v>0</v>
      </c>
      <c r="AE7" s="1">
        <f t="shared" si="5"/>
        <v>0</v>
      </c>
      <c r="AF7" s="1">
        <f t="shared" si="6"/>
        <v>0</v>
      </c>
      <c r="AG7" s="1">
        <f>SUM(AD7:AF7)/3</f>
        <v>0</v>
      </c>
    </row>
    <row r="8" spans="1:36" s="1" customFormat="1" x14ac:dyDescent="0.3">
      <c r="A8" s="1" t="s">
        <v>41</v>
      </c>
      <c r="B8" s="22" t="s">
        <v>49</v>
      </c>
      <c r="C8" s="22">
        <v>4</v>
      </c>
      <c r="D8" s="22"/>
      <c r="E8" s="22"/>
      <c r="F8" s="22"/>
      <c r="G8" s="3" t="s">
        <v>50</v>
      </c>
      <c r="H8" s="3" t="s">
        <v>46</v>
      </c>
      <c r="N8" s="2"/>
      <c r="Q8" s="2"/>
      <c r="W8" s="2"/>
      <c r="X8" s="2"/>
      <c r="Y8" s="2"/>
      <c r="Z8" s="1">
        <f t="shared" si="0"/>
        <v>0</v>
      </c>
      <c r="AA8" s="1">
        <f t="shared" si="1"/>
        <v>0</v>
      </c>
      <c r="AB8" s="1">
        <f t="shared" si="2"/>
        <v>0</v>
      </c>
      <c r="AC8" s="1">
        <f t="shared" si="3"/>
        <v>0</v>
      </c>
      <c r="AD8" s="1">
        <f t="shared" si="4"/>
        <v>0</v>
      </c>
      <c r="AE8" s="1">
        <f t="shared" si="5"/>
        <v>0</v>
      </c>
      <c r="AF8" s="1">
        <f t="shared" si="6"/>
        <v>0</v>
      </c>
      <c r="AG8" s="1">
        <f t="shared" ref="AG8:AG21" si="8">SUM(AD8:AF8)/3</f>
        <v>0</v>
      </c>
      <c r="AH8" s="1" t="s">
        <v>51</v>
      </c>
      <c r="AI8" s="6"/>
    </row>
    <row r="9" spans="1:36" s="1" customFormat="1" x14ac:dyDescent="0.3">
      <c r="A9" s="1" t="s">
        <v>41</v>
      </c>
      <c r="B9" s="22" t="s">
        <v>59</v>
      </c>
      <c r="C9" s="22">
        <v>10</v>
      </c>
      <c r="D9" s="22"/>
      <c r="E9" s="22"/>
      <c r="F9" s="22"/>
      <c r="G9" s="3" t="s">
        <v>48</v>
      </c>
      <c r="H9" s="3" t="s">
        <v>53</v>
      </c>
      <c r="Y9" s="2"/>
      <c r="Z9" s="1">
        <f t="shared" si="0"/>
        <v>0</v>
      </c>
      <c r="AA9" s="1">
        <f t="shared" si="1"/>
        <v>0</v>
      </c>
      <c r="AB9" s="1">
        <f t="shared" si="2"/>
        <v>0</v>
      </c>
      <c r="AC9" s="1">
        <f t="shared" si="3"/>
        <v>0</v>
      </c>
      <c r="AD9" s="1">
        <f t="shared" si="4"/>
        <v>0</v>
      </c>
      <c r="AE9" s="1">
        <f t="shared" si="5"/>
        <v>0</v>
      </c>
      <c r="AF9" s="1">
        <f t="shared" si="6"/>
        <v>0</v>
      </c>
      <c r="AG9" s="1">
        <f t="shared" si="8"/>
        <v>0</v>
      </c>
    </row>
    <row r="10" spans="1:36" s="1" customFormat="1" x14ac:dyDescent="0.3">
      <c r="A10" s="1" t="s">
        <v>41</v>
      </c>
      <c r="B10" s="22" t="s">
        <v>64</v>
      </c>
      <c r="C10" s="22">
        <v>14</v>
      </c>
      <c r="D10" s="22"/>
      <c r="E10" s="22"/>
      <c r="F10" s="22"/>
      <c r="G10" s="3" t="s">
        <v>65</v>
      </c>
      <c r="H10" s="3" t="s">
        <v>66</v>
      </c>
      <c r="Y10" s="2"/>
      <c r="Z10" s="1">
        <f t="shared" si="0"/>
        <v>0</v>
      </c>
      <c r="AA10" s="1">
        <f t="shared" si="1"/>
        <v>0</v>
      </c>
      <c r="AB10" s="1">
        <f t="shared" si="2"/>
        <v>0</v>
      </c>
      <c r="AC10" s="1">
        <f t="shared" si="3"/>
        <v>0</v>
      </c>
      <c r="AD10" s="1">
        <f t="shared" si="4"/>
        <v>0</v>
      </c>
      <c r="AE10" s="1">
        <f t="shared" si="5"/>
        <v>0</v>
      </c>
      <c r="AF10" s="1">
        <f t="shared" si="6"/>
        <v>0</v>
      </c>
      <c r="AG10" s="1">
        <f t="shared" si="8"/>
        <v>0</v>
      </c>
      <c r="AH10" s="1" t="s">
        <v>67</v>
      </c>
    </row>
    <row r="11" spans="1:36" s="1" customFormat="1" x14ac:dyDescent="0.3">
      <c r="A11" s="1" t="s">
        <v>41</v>
      </c>
      <c r="B11" s="22" t="s">
        <v>74</v>
      </c>
      <c r="C11" s="22">
        <v>19</v>
      </c>
      <c r="D11" s="22"/>
      <c r="E11" s="22"/>
      <c r="F11" s="22"/>
      <c r="G11" s="3" t="s">
        <v>43</v>
      </c>
      <c r="H11" s="3" t="s">
        <v>55</v>
      </c>
      <c r="Y11" s="2"/>
      <c r="Z11" s="1">
        <f t="shared" si="0"/>
        <v>0</v>
      </c>
      <c r="AA11" s="1">
        <f t="shared" si="1"/>
        <v>0</v>
      </c>
      <c r="AB11" s="1">
        <f t="shared" si="2"/>
        <v>0</v>
      </c>
      <c r="AC11" s="1">
        <f t="shared" si="3"/>
        <v>0</v>
      </c>
      <c r="AD11" s="1">
        <f t="shared" si="4"/>
        <v>0</v>
      </c>
      <c r="AE11" s="1">
        <f t="shared" si="5"/>
        <v>0</v>
      </c>
      <c r="AF11" s="1">
        <f t="shared" si="6"/>
        <v>0</v>
      </c>
      <c r="AG11" s="1">
        <f t="shared" si="8"/>
        <v>0</v>
      </c>
    </row>
    <row r="12" spans="1:36" s="1" customFormat="1" x14ac:dyDescent="0.3">
      <c r="A12" s="1" t="s">
        <v>41</v>
      </c>
      <c r="B12" s="22" t="s">
        <v>76</v>
      </c>
      <c r="C12" s="22">
        <v>21</v>
      </c>
      <c r="D12" s="22"/>
      <c r="E12" s="22"/>
      <c r="F12" s="22"/>
      <c r="G12" s="3" t="s">
        <v>48</v>
      </c>
      <c r="H12" s="3" t="s">
        <v>44</v>
      </c>
      <c r="Y12" s="2"/>
      <c r="Z12" s="1">
        <f t="shared" si="0"/>
        <v>0</v>
      </c>
      <c r="AA12" s="1">
        <f>SUM(P12:T12)</f>
        <v>0</v>
      </c>
      <c r="AB12" s="1">
        <f t="shared" si="2"/>
        <v>0</v>
      </c>
      <c r="AC12" s="1">
        <f t="shared" si="3"/>
        <v>0</v>
      </c>
      <c r="AD12" s="1">
        <f t="shared" si="4"/>
        <v>0</v>
      </c>
      <c r="AE12" s="1">
        <f t="shared" si="5"/>
        <v>0</v>
      </c>
      <c r="AF12" s="1">
        <f t="shared" si="6"/>
        <v>0</v>
      </c>
      <c r="AG12" s="1">
        <f t="shared" si="8"/>
        <v>0</v>
      </c>
    </row>
    <row r="13" spans="1:36" s="1" customFormat="1" x14ac:dyDescent="0.3">
      <c r="A13" s="1" t="s">
        <v>138</v>
      </c>
      <c r="B13" s="22" t="s">
        <v>143</v>
      </c>
      <c r="C13" s="22">
        <v>4</v>
      </c>
      <c r="D13" s="22"/>
      <c r="E13" s="22"/>
      <c r="F13" s="22"/>
      <c r="G13" s="3" t="s">
        <v>93</v>
      </c>
      <c r="H13" s="3" t="s">
        <v>144</v>
      </c>
      <c r="N13" s="2"/>
      <c r="Q13" s="2"/>
      <c r="W13" s="2"/>
      <c r="X13" s="2"/>
      <c r="Y13" s="2"/>
      <c r="Z13" s="1">
        <f t="shared" si="0"/>
        <v>0</v>
      </c>
      <c r="AA13" s="1">
        <f t="shared" ref="AA13:AA16" si="9">SUM(P13:T13)</f>
        <v>0</v>
      </c>
      <c r="AB13" s="1">
        <f t="shared" si="2"/>
        <v>0</v>
      </c>
      <c r="AC13" s="1">
        <f t="shared" si="3"/>
        <v>0</v>
      </c>
      <c r="AD13" s="1">
        <f t="shared" si="4"/>
        <v>0</v>
      </c>
      <c r="AE13" s="1">
        <f t="shared" si="5"/>
        <v>0</v>
      </c>
      <c r="AF13" s="1">
        <f t="shared" si="6"/>
        <v>0</v>
      </c>
      <c r="AG13" s="1">
        <f t="shared" si="8"/>
        <v>0</v>
      </c>
      <c r="AI13" s="6"/>
    </row>
    <row r="14" spans="1:36" s="1" customFormat="1" x14ac:dyDescent="0.3">
      <c r="A14" s="1" t="s">
        <v>138</v>
      </c>
      <c r="B14" s="22" t="s">
        <v>147</v>
      </c>
      <c r="C14" s="22">
        <v>7</v>
      </c>
      <c r="D14" s="22"/>
      <c r="E14" s="22"/>
      <c r="F14" s="22"/>
      <c r="G14" s="3" t="s">
        <v>50</v>
      </c>
      <c r="H14" s="3" t="s">
        <v>148</v>
      </c>
      <c r="N14" s="2"/>
      <c r="W14" s="2"/>
      <c r="X14" s="2"/>
      <c r="Y14" s="2"/>
      <c r="Z14" s="1">
        <f t="shared" si="0"/>
        <v>0</v>
      </c>
      <c r="AA14" s="1">
        <f t="shared" si="9"/>
        <v>0</v>
      </c>
      <c r="AB14" s="1">
        <f t="shared" si="2"/>
        <v>0</v>
      </c>
      <c r="AC14" s="1">
        <f t="shared" si="3"/>
        <v>0</v>
      </c>
      <c r="AD14" s="1">
        <f t="shared" si="4"/>
        <v>0</v>
      </c>
      <c r="AE14" s="1">
        <f t="shared" si="5"/>
        <v>0</v>
      </c>
      <c r="AF14" s="1">
        <f t="shared" si="6"/>
        <v>0</v>
      </c>
      <c r="AG14" s="1">
        <f t="shared" si="8"/>
        <v>0</v>
      </c>
      <c r="AI14" s="4"/>
    </row>
    <row r="15" spans="1:36" s="1" customFormat="1" x14ac:dyDescent="0.3">
      <c r="A15" s="1" t="s">
        <v>138</v>
      </c>
      <c r="B15" s="22" t="s">
        <v>149</v>
      </c>
      <c r="C15" s="22">
        <v>8</v>
      </c>
      <c r="D15" s="22"/>
      <c r="E15" s="22"/>
      <c r="F15" s="22"/>
      <c r="G15" s="3" t="s">
        <v>50</v>
      </c>
      <c r="H15" s="3" t="s">
        <v>150</v>
      </c>
      <c r="Y15" s="2"/>
      <c r="Z15" s="1">
        <f t="shared" si="0"/>
        <v>0</v>
      </c>
      <c r="AA15" s="1">
        <f t="shared" si="9"/>
        <v>0</v>
      </c>
      <c r="AB15" s="1">
        <f t="shared" si="2"/>
        <v>0</v>
      </c>
      <c r="AC15" s="1">
        <f t="shared" si="3"/>
        <v>0</v>
      </c>
      <c r="AD15" s="1">
        <f t="shared" si="4"/>
        <v>0</v>
      </c>
      <c r="AE15" s="1">
        <f t="shared" si="5"/>
        <v>0</v>
      </c>
      <c r="AF15" s="1">
        <f t="shared" si="6"/>
        <v>0</v>
      </c>
      <c r="AG15" s="1">
        <f t="shared" si="8"/>
        <v>0</v>
      </c>
    </row>
    <row r="16" spans="1:36" s="1" customFormat="1" x14ac:dyDescent="0.3">
      <c r="A16" s="1" t="s">
        <v>138</v>
      </c>
      <c r="B16" s="22" t="s">
        <v>154</v>
      </c>
      <c r="C16" s="22">
        <v>12</v>
      </c>
      <c r="D16" s="22"/>
      <c r="E16" s="22"/>
      <c r="F16" s="22"/>
      <c r="G16" s="3" t="s">
        <v>93</v>
      </c>
      <c r="H16" s="3" t="s">
        <v>155</v>
      </c>
      <c r="Y16" s="2"/>
      <c r="Z16" s="1">
        <f t="shared" si="0"/>
        <v>0</v>
      </c>
      <c r="AA16" s="1">
        <f t="shared" si="9"/>
        <v>0</v>
      </c>
      <c r="AB16" s="1">
        <f t="shared" si="2"/>
        <v>0</v>
      </c>
      <c r="AC16" s="1">
        <f t="shared" si="3"/>
        <v>0</v>
      </c>
      <c r="AD16" s="1">
        <f t="shared" si="4"/>
        <v>0</v>
      </c>
      <c r="AE16" s="1">
        <f t="shared" si="5"/>
        <v>0</v>
      </c>
      <c r="AF16" s="1">
        <f t="shared" si="6"/>
        <v>0</v>
      </c>
      <c r="AG16" s="1">
        <f t="shared" si="8"/>
        <v>0</v>
      </c>
    </row>
    <row r="17" spans="1:40" s="1" customFormat="1" x14ac:dyDescent="0.3">
      <c r="A17" s="1" t="s">
        <v>138</v>
      </c>
      <c r="B17" s="22" t="s">
        <v>167</v>
      </c>
      <c r="C17" s="22">
        <v>21</v>
      </c>
      <c r="D17" s="22"/>
      <c r="E17" s="22"/>
      <c r="F17" s="22"/>
      <c r="G17" s="3" t="s">
        <v>43</v>
      </c>
      <c r="H17" s="3" t="s">
        <v>46</v>
      </c>
      <c r="Y17" s="2"/>
      <c r="Z17" s="1">
        <f t="shared" si="0"/>
        <v>0</v>
      </c>
      <c r="AA17" s="1">
        <f>SUM(P17:T17)</f>
        <v>0</v>
      </c>
      <c r="AB17" s="1">
        <f t="shared" si="2"/>
        <v>0</v>
      </c>
      <c r="AC17" s="1">
        <f t="shared" si="3"/>
        <v>0</v>
      </c>
      <c r="AD17" s="1">
        <f t="shared" si="4"/>
        <v>0</v>
      </c>
      <c r="AE17" s="1">
        <f t="shared" si="5"/>
        <v>0</v>
      </c>
      <c r="AF17" s="1">
        <f t="shared" si="6"/>
        <v>0</v>
      </c>
      <c r="AG17" s="1">
        <f t="shared" si="8"/>
        <v>0</v>
      </c>
    </row>
    <row r="18" spans="1:40" s="1" customFormat="1" x14ac:dyDescent="0.3">
      <c r="A18" s="1" t="s">
        <v>173</v>
      </c>
      <c r="B18" s="22" t="s">
        <v>184</v>
      </c>
      <c r="C18" s="22">
        <v>8</v>
      </c>
      <c r="D18" s="22"/>
      <c r="E18" s="22"/>
      <c r="F18" s="22"/>
      <c r="G18" s="3" t="s">
        <v>50</v>
      </c>
      <c r="H18" s="3" t="s">
        <v>178</v>
      </c>
      <c r="Y18" s="2"/>
      <c r="Z18" s="1">
        <f t="shared" si="0"/>
        <v>0</v>
      </c>
      <c r="AA18" s="1">
        <f t="shared" ref="AA18" si="10">SUM(P18:T18)</f>
        <v>0</v>
      </c>
      <c r="AB18" s="1">
        <f t="shared" si="2"/>
        <v>0</v>
      </c>
      <c r="AC18" s="1">
        <f t="shared" si="3"/>
        <v>0</v>
      </c>
      <c r="AD18" s="1">
        <f t="shared" si="4"/>
        <v>0</v>
      </c>
      <c r="AE18" s="1">
        <f t="shared" si="5"/>
        <v>0</v>
      </c>
      <c r="AF18" s="1">
        <f t="shared" si="6"/>
        <v>0</v>
      </c>
      <c r="AG18" s="1">
        <f t="shared" si="8"/>
        <v>0</v>
      </c>
      <c r="AH18" s="1" t="s">
        <v>185</v>
      </c>
    </row>
    <row r="19" spans="1:40" s="1" customFormat="1" x14ac:dyDescent="0.3">
      <c r="A19" s="1" t="s">
        <v>173</v>
      </c>
      <c r="B19" s="22" t="s">
        <v>199</v>
      </c>
      <c r="C19" s="22">
        <v>19</v>
      </c>
      <c r="D19" s="22"/>
      <c r="E19" s="22"/>
      <c r="F19" s="22"/>
      <c r="G19" s="3" t="s">
        <v>43</v>
      </c>
      <c r="H19" s="3" t="s">
        <v>200</v>
      </c>
      <c r="Y19" s="2"/>
      <c r="Z19" s="1">
        <f t="shared" si="0"/>
        <v>0</v>
      </c>
      <c r="AA19" s="1">
        <f>SUM(P19:T19)</f>
        <v>0</v>
      </c>
      <c r="AB19" s="1">
        <f t="shared" si="2"/>
        <v>0</v>
      </c>
      <c r="AC19" s="1">
        <f t="shared" si="3"/>
        <v>0</v>
      </c>
      <c r="AD19" s="1">
        <f t="shared" si="4"/>
        <v>0</v>
      </c>
      <c r="AE19" s="1">
        <f t="shared" si="5"/>
        <v>0</v>
      </c>
      <c r="AF19" s="1">
        <f t="shared" si="6"/>
        <v>0</v>
      </c>
      <c r="AG19" s="1">
        <f t="shared" si="8"/>
        <v>0</v>
      </c>
    </row>
    <row r="20" spans="1:40" s="1" customFormat="1" x14ac:dyDescent="0.3">
      <c r="A20" s="1" t="s">
        <v>173</v>
      </c>
      <c r="B20" s="22" t="s">
        <v>208</v>
      </c>
      <c r="C20" s="22">
        <v>24</v>
      </c>
      <c r="D20" s="22"/>
      <c r="E20" s="22"/>
      <c r="F20" s="22"/>
      <c r="G20" s="3" t="s">
        <v>43</v>
      </c>
      <c r="H20" s="3" t="s">
        <v>187</v>
      </c>
      <c r="Y20" s="2"/>
      <c r="Z20" s="1">
        <f t="shared" si="0"/>
        <v>0</v>
      </c>
      <c r="AA20" s="1">
        <f t="shared" ref="AA20:AA21" si="11">SUM(P20:T20)</f>
        <v>0</v>
      </c>
      <c r="AB20" s="1">
        <f t="shared" si="2"/>
        <v>0</v>
      </c>
      <c r="AC20" s="1">
        <f t="shared" si="3"/>
        <v>0</v>
      </c>
      <c r="AD20" s="1">
        <f t="shared" si="4"/>
        <v>0</v>
      </c>
      <c r="AE20" s="1">
        <f t="shared" si="5"/>
        <v>0</v>
      </c>
      <c r="AF20" s="1">
        <f t="shared" si="6"/>
        <v>0</v>
      </c>
      <c r="AG20" s="1">
        <f t="shared" si="8"/>
        <v>0</v>
      </c>
    </row>
    <row r="21" spans="1:40" s="1" customFormat="1" x14ac:dyDescent="0.3">
      <c r="A21" s="1" t="s">
        <v>173</v>
      </c>
      <c r="B21" s="22" t="s">
        <v>211</v>
      </c>
      <c r="C21" s="22">
        <v>26</v>
      </c>
      <c r="D21" s="22"/>
      <c r="E21" s="22"/>
      <c r="F21" s="22"/>
      <c r="G21" s="3" t="s">
        <v>50</v>
      </c>
      <c r="H21" s="3" t="s">
        <v>160</v>
      </c>
      <c r="Y21" s="2"/>
      <c r="Z21" s="1">
        <f t="shared" si="0"/>
        <v>0</v>
      </c>
      <c r="AA21" s="1">
        <f t="shared" si="11"/>
        <v>0</v>
      </c>
      <c r="AB21" s="1">
        <f t="shared" si="2"/>
        <v>0</v>
      </c>
      <c r="AC21" s="1">
        <f t="shared" si="3"/>
        <v>0</v>
      </c>
      <c r="AD21" s="1">
        <f t="shared" si="4"/>
        <v>0</v>
      </c>
      <c r="AE21" s="1">
        <f t="shared" si="5"/>
        <v>0</v>
      </c>
      <c r="AF21" s="1">
        <f t="shared" si="6"/>
        <v>0</v>
      </c>
      <c r="AG21" s="1">
        <f t="shared" si="8"/>
        <v>0</v>
      </c>
    </row>
    <row r="22" spans="1:40" x14ac:dyDescent="0.3">
      <c r="A22" s="1" t="s">
        <v>173</v>
      </c>
      <c r="B22" s="22" t="s">
        <v>212</v>
      </c>
      <c r="C22" s="22">
        <v>27</v>
      </c>
      <c r="D22" s="22"/>
      <c r="E22" s="22"/>
      <c r="F22" s="22"/>
      <c r="G22" s="3" t="s">
        <v>50</v>
      </c>
      <c r="H22" s="3" t="s">
        <v>160</v>
      </c>
      <c r="I22" s="1"/>
      <c r="J22" s="1"/>
      <c r="K22" s="1"/>
      <c r="L22" s="1"/>
      <c r="M22" s="1"/>
      <c r="N22" s="1"/>
      <c r="O22" s="1"/>
      <c r="P22" s="1"/>
      <c r="Q22" s="1"/>
      <c r="R22" s="1"/>
      <c r="S22" s="1"/>
      <c r="T22" s="1"/>
      <c r="U22" s="1"/>
      <c r="V22" s="1"/>
      <c r="W22" s="1"/>
      <c r="X22" s="1"/>
      <c r="Y22" s="2"/>
      <c r="Z22" s="1">
        <f>SUM(J22:O22)</f>
        <v>0</v>
      </c>
      <c r="AA22" s="1">
        <f t="shared" ref="AA22" si="12">SUM(P22:T22)</f>
        <v>0</v>
      </c>
      <c r="AB22" s="1">
        <f>SUM(U22:Y22)</f>
        <v>0</v>
      </c>
      <c r="AC22" s="1">
        <f>SUM(Z22:AB22)</f>
        <v>0</v>
      </c>
      <c r="AD22" s="1">
        <f>Z22/6*5</f>
        <v>0</v>
      </c>
      <c r="AE22" s="1">
        <f>AA22/5*5</f>
        <v>0</v>
      </c>
      <c r="AF22" s="1">
        <f xml:space="preserve"> AB22/5*5</f>
        <v>0</v>
      </c>
      <c r="AG22" s="1">
        <f>SUM(AD22:AF22)/3</f>
        <v>0</v>
      </c>
      <c r="AH22" s="1"/>
      <c r="AI22" s="1"/>
      <c r="AJ22" s="1"/>
      <c r="AK22" s="1"/>
      <c r="AL22" s="1"/>
      <c r="AM22" s="1"/>
      <c r="AN22" s="1"/>
    </row>
  </sheetData>
  <mergeCells count="3">
    <mergeCell ref="J1:O1"/>
    <mergeCell ref="P1:T1"/>
    <mergeCell ref="U1:Y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278717-252d-455f-9297-341259384352">
      <Terms xmlns="http://schemas.microsoft.com/office/infopath/2007/PartnerControls"/>
    </lcf76f155ced4ddcb4097134ff3c332f>
    <TaxCatchAll xmlns="67fd2e6b-9b4b-488b-ae5d-884371a2c3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F98E057C991C64EA8C44B2688F4F4E8" ma:contentTypeVersion="10" ma:contentTypeDescription="Crée un document." ma:contentTypeScope="" ma:versionID="205ac32a36de600e2ab9bca4f1502e82">
  <xsd:schema xmlns:xsd="http://www.w3.org/2001/XMLSchema" xmlns:xs="http://www.w3.org/2001/XMLSchema" xmlns:p="http://schemas.microsoft.com/office/2006/metadata/properties" xmlns:ns2="b0278717-252d-455f-9297-341259384352" xmlns:ns3="67fd2e6b-9b4b-488b-ae5d-884371a2c380" targetNamespace="http://schemas.microsoft.com/office/2006/metadata/properties" ma:root="true" ma:fieldsID="423e538afa53ae88b73bb7a22e6ab62a" ns2:_="" ns3:_="">
    <xsd:import namespace="b0278717-252d-455f-9297-341259384352"/>
    <xsd:import namespace="67fd2e6b-9b4b-488b-ae5d-884371a2c3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278717-252d-455f-9297-3412593843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92e9244-4a4f-438c-9023-5bd3b64bf7c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7fd2e6b-9b4b-488b-ae5d-884371a2c38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5adbaf4-2676-4a07-87ea-a47db9bf60cc}" ma:internalName="TaxCatchAll" ma:showField="CatchAllData" ma:web="67fd2e6b-9b4b-488b-ae5d-884371a2c3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E1DA6F-9828-4C90-B1DD-F6C5DDCFA33D}">
  <ds:schemaRefs>
    <ds:schemaRef ds:uri="http://schemas.microsoft.com/office/2006/metadata/properties"/>
    <ds:schemaRef ds:uri="http://schemas.microsoft.com/office/infopath/2007/PartnerControls"/>
    <ds:schemaRef ds:uri="b0278717-252d-455f-9297-341259384352"/>
    <ds:schemaRef ds:uri="67fd2e6b-9b4b-488b-ae5d-884371a2c380"/>
  </ds:schemaRefs>
</ds:datastoreItem>
</file>

<file path=customXml/itemProps2.xml><?xml version="1.0" encoding="utf-8"?>
<ds:datastoreItem xmlns:ds="http://schemas.openxmlformats.org/officeDocument/2006/customXml" ds:itemID="{E5E6D151-5FDE-4AAE-92E5-7A931745F48E}">
  <ds:schemaRefs>
    <ds:schemaRef ds:uri="http://schemas.microsoft.com/sharepoint/v3/contenttype/forms"/>
  </ds:schemaRefs>
</ds:datastoreItem>
</file>

<file path=customXml/itemProps3.xml><?xml version="1.0" encoding="utf-8"?>
<ds:datastoreItem xmlns:ds="http://schemas.openxmlformats.org/officeDocument/2006/customXml" ds:itemID="{32CEAB00-EB88-42CB-8573-B14217434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278717-252d-455f-9297-341259384352"/>
    <ds:schemaRef ds:uri="67fd2e6b-9b4b-488b-ae5d-884371a2c3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UWS</vt:lpstr>
      <vt:lpstr>Ivry</vt:lpstr>
      <vt:lpstr>19e</vt:lpstr>
      <vt:lpstr>Neuilly</vt:lpstr>
      <vt:lpstr>7e</vt:lpstr>
      <vt:lpstr>5e</vt:lpstr>
      <vt:lpstr>TEST</vt:lpstr>
      <vt:lpstr>Vegetalisation</vt:lpstr>
      <vt:lpstr>Cross-scoring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ESPIN I MARTI</dc:creator>
  <cp:keywords/>
  <dc:description/>
  <cp:lastModifiedBy>MOLINARO Katia</cp:lastModifiedBy>
  <cp:revision/>
  <dcterms:created xsi:type="dcterms:W3CDTF">2026-02-18T12:47:19Z</dcterms:created>
  <dcterms:modified xsi:type="dcterms:W3CDTF">2026-04-23T09:47:06Z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0x0101006F98E057C991C64EA8C44B2688F4F4E8</vt:lpwstr>
  </property>
  <property fmtid="{D5CDD505-2E9C-101B-9397-08002B2CF9AE}" pid="3" name="MediaServiceImageTags">
    <vt:lpwstr/>
  </property>
</Properties>
</file>