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mnhnfr.sharepoint.com/sites/ParisWildness/Documents partages/General/Data/UWS/"/>
    </mc:Choice>
  </mc:AlternateContent>
  <xr:revisionPtr revIDLastSave="0" documentId="8_{00C45CF5-0095-4B8A-B80D-4373C65739AE}" xr6:coauthVersionLast="47" xr6:coauthVersionMax="47" xr10:uidLastSave="{00000000-0000-0000-0000-000000000000}"/>
  <bookViews>
    <workbookView xWindow="-108" yWindow="-108" windowWidth="23256" windowHeight="12576" xr2:uid="{A2E2B354-4CFC-4A8A-96B7-F1F306D34BE6}"/>
  </bookViews>
  <sheets>
    <sheet name="Data_field" sheetId="5" r:id="rId1"/>
    <sheet name="Feuil1" sheetId="6" r:id="rId2"/>
  </sheets>
  <definedNames>
    <definedName name="_xlchart.v1.0" hidden="1">Data_field!$A$4:$A$26</definedName>
    <definedName name="_xlchart.v1.1" hidden="1">Data_field!$AG$4:$AG$26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5" l="1"/>
  <c r="AA27" i="5"/>
  <c r="AB27" i="5"/>
  <c r="AC27" i="5"/>
  <c r="AD27" i="5"/>
  <c r="AE27" i="5"/>
  <c r="AF27" i="5"/>
  <c r="AG27" i="5"/>
  <c r="Z28" i="5"/>
  <c r="AA28" i="5"/>
  <c r="AB28" i="5"/>
  <c r="AC28" i="5"/>
  <c r="AD28" i="5"/>
  <c r="AE28" i="5"/>
  <c r="AF28" i="5"/>
  <c r="AG28" i="5"/>
  <c r="Z29" i="5"/>
  <c r="AA29" i="5"/>
  <c r="AB29" i="5"/>
  <c r="AC29" i="5"/>
  <c r="AD29" i="5"/>
  <c r="AE29" i="5"/>
  <c r="AF29" i="5"/>
  <c r="AG29" i="5"/>
  <c r="Z30" i="5"/>
  <c r="AA30" i="5"/>
  <c r="AB30" i="5"/>
  <c r="AC30" i="5"/>
  <c r="AD30" i="5"/>
  <c r="AE30" i="5"/>
  <c r="AF30" i="5"/>
  <c r="AG30" i="5"/>
  <c r="Z31" i="5"/>
  <c r="AA31" i="5"/>
  <c r="AB31" i="5"/>
  <c r="AC31" i="5"/>
  <c r="AD31" i="5"/>
  <c r="AE31" i="5"/>
  <c r="AF31" i="5"/>
  <c r="AG31" i="5"/>
  <c r="Z32" i="5"/>
  <c r="AA32" i="5"/>
  <c r="AB32" i="5"/>
  <c r="AC32" i="5"/>
  <c r="AD32" i="5"/>
  <c r="AE32" i="5"/>
  <c r="AF32" i="5"/>
  <c r="AG32" i="5"/>
  <c r="AB1" i="6"/>
  <c r="AF1" i="6" s="1"/>
  <c r="AA1" i="6"/>
  <c r="AE1" i="6" s="1"/>
  <c r="Z1" i="6"/>
  <c r="Z8" i="5"/>
  <c r="Z12" i="5"/>
  <c r="AD12" i="5" s="1"/>
  <c r="AA12" i="5"/>
  <c r="AE12" i="5" s="1"/>
  <c r="AB12" i="5"/>
  <c r="AF12" i="5" s="1"/>
  <c r="Z13" i="5"/>
  <c r="AA13" i="5"/>
  <c r="AE13" i="5" s="1"/>
  <c r="AB13" i="5"/>
  <c r="AF13" i="5" s="1"/>
  <c r="Z14" i="5"/>
  <c r="AA14" i="5"/>
  <c r="AE14" i="5" s="1"/>
  <c r="AB14" i="5"/>
  <c r="AF14" i="5" s="1"/>
  <c r="Z15" i="5"/>
  <c r="AA15" i="5"/>
  <c r="AE15" i="5" s="1"/>
  <c r="AB15" i="5"/>
  <c r="AF15" i="5" s="1"/>
  <c r="Z16" i="5"/>
  <c r="AA16" i="5"/>
  <c r="AB16" i="5"/>
  <c r="AD16" i="5"/>
  <c r="AE16" i="5"/>
  <c r="AF16" i="5"/>
  <c r="Z17" i="5"/>
  <c r="AA17" i="5"/>
  <c r="AE17" i="5" s="1"/>
  <c r="AB17" i="5"/>
  <c r="AF17" i="5" s="1"/>
  <c r="Z18" i="5"/>
  <c r="AA18" i="5"/>
  <c r="AB18" i="5"/>
  <c r="AD18" i="5"/>
  <c r="AE18" i="5"/>
  <c r="AF18" i="5"/>
  <c r="Z19" i="5"/>
  <c r="AA19" i="5"/>
  <c r="AE19" i="5" s="1"/>
  <c r="AB19" i="5"/>
  <c r="AF19" i="5" s="1"/>
  <c r="Z20" i="5"/>
  <c r="AA20" i="5"/>
  <c r="AE20" i="5" s="1"/>
  <c r="AB20" i="5"/>
  <c r="AF20" i="5" s="1"/>
  <c r="Z21" i="5"/>
  <c r="AA21" i="5"/>
  <c r="AE21" i="5" s="1"/>
  <c r="AB21" i="5"/>
  <c r="AF21" i="5" s="1"/>
  <c r="AB26" i="5"/>
  <c r="AF26" i="5" s="1"/>
  <c r="AA26" i="5"/>
  <c r="AE26" i="5" s="1"/>
  <c r="Z26" i="5"/>
  <c r="AD26" i="5" s="1"/>
  <c r="AB25" i="5"/>
  <c r="AF25" i="5" s="1"/>
  <c r="AA25" i="5"/>
  <c r="AE25" i="5" s="1"/>
  <c r="Z25" i="5"/>
  <c r="AD25" i="5" s="1"/>
  <c r="AB24" i="5"/>
  <c r="AF24" i="5" s="1"/>
  <c r="AA24" i="5"/>
  <c r="AE24" i="5" s="1"/>
  <c r="Z24" i="5"/>
  <c r="AB23" i="5"/>
  <c r="AF23" i="5" s="1"/>
  <c r="AA23" i="5"/>
  <c r="AE23" i="5" s="1"/>
  <c r="Z23" i="5"/>
  <c r="AD23" i="5" s="1"/>
  <c r="AB22" i="5"/>
  <c r="AF22" i="5" s="1"/>
  <c r="AA22" i="5"/>
  <c r="AE22" i="5" s="1"/>
  <c r="Z22" i="5"/>
  <c r="AD22" i="5" s="1"/>
  <c r="AB11" i="5"/>
  <c r="AA11" i="5"/>
  <c r="AE11" i="5" s="1"/>
  <c r="Z11" i="5"/>
  <c r="AD11" i="5" s="1"/>
  <c r="AB10" i="5"/>
  <c r="AA10" i="5"/>
  <c r="AE10" i="5" s="1"/>
  <c r="Z10" i="5"/>
  <c r="AD10" i="5" s="1"/>
  <c r="AB9" i="5"/>
  <c r="AA9" i="5"/>
  <c r="AE9" i="5" s="1"/>
  <c r="Z9" i="5"/>
  <c r="AD9" i="5" s="1"/>
  <c r="AB8" i="5"/>
  <c r="AA8" i="5"/>
  <c r="AE8" i="5" s="1"/>
  <c r="AD8" i="5"/>
  <c r="AB7" i="5"/>
  <c r="AF7" i="5" s="1"/>
  <c r="AA7" i="5"/>
  <c r="AE7" i="5" s="1"/>
  <c r="Z7" i="5"/>
  <c r="AD7" i="5" s="1"/>
  <c r="AB6" i="5"/>
  <c r="AF6" i="5" s="1"/>
  <c r="AA6" i="5"/>
  <c r="AE6" i="5" s="1"/>
  <c r="Z6" i="5"/>
  <c r="AD6" i="5" s="1"/>
  <c r="AB5" i="5"/>
  <c r="AA5" i="5"/>
  <c r="AE5" i="5" s="1"/>
  <c r="Z5" i="5"/>
  <c r="AD5" i="5" s="1"/>
  <c r="AB4" i="5"/>
  <c r="AA4" i="5"/>
  <c r="AE4" i="5" s="1"/>
  <c r="Z4" i="5"/>
  <c r="AD4" i="5" s="1"/>
  <c r="AB3" i="5"/>
  <c r="AF3" i="5" s="1"/>
  <c r="AA3" i="5"/>
  <c r="AE3" i="5" s="1"/>
  <c r="Z3" i="5"/>
  <c r="AD3" i="5" s="1"/>
  <c r="AD1" i="6" l="1"/>
  <c r="AG1" i="6" s="1"/>
  <c r="AC1" i="6"/>
  <c r="AG18" i="5"/>
  <c r="AC18" i="5"/>
  <c r="AG16" i="5"/>
  <c r="AC16" i="5"/>
  <c r="AC21" i="5"/>
  <c r="AD21" i="5"/>
  <c r="AG21" i="5" s="1"/>
  <c r="AC20" i="5"/>
  <c r="AD20" i="5"/>
  <c r="AG20" i="5" s="1"/>
  <c r="AC19" i="5"/>
  <c r="AD19" i="5"/>
  <c r="AG19" i="5" s="1"/>
  <c r="AC17" i="5"/>
  <c r="AD17" i="5"/>
  <c r="AG17" i="5" s="1"/>
  <c r="AC15" i="5"/>
  <c r="AD15" i="5"/>
  <c r="AG15" i="5" s="1"/>
  <c r="AC14" i="5"/>
  <c r="AD14" i="5"/>
  <c r="AG14" i="5" s="1"/>
  <c r="AG12" i="5"/>
  <c r="AC13" i="5"/>
  <c r="AD13" i="5"/>
  <c r="AG13" i="5" s="1"/>
  <c r="AC12" i="5"/>
  <c r="AG23" i="5"/>
  <c r="AC24" i="5"/>
  <c r="AC26" i="5"/>
  <c r="AG7" i="5"/>
  <c r="AC9" i="5"/>
  <c r="AG25" i="5"/>
  <c r="AC4" i="5"/>
  <c r="AC5" i="5"/>
  <c r="AC11" i="5"/>
  <c r="AC8" i="5"/>
  <c r="AF4" i="5"/>
  <c r="AG4" i="5" s="1"/>
  <c r="AC10" i="5"/>
  <c r="AC22" i="5"/>
  <c r="AD24" i="5"/>
  <c r="AG24" i="5" s="1"/>
  <c r="AG3" i="5"/>
  <c r="AG6" i="5"/>
  <c r="AF5" i="5"/>
  <c r="AG5" i="5" s="1"/>
  <c r="AF8" i="5"/>
  <c r="AG8" i="5" s="1"/>
  <c r="AF9" i="5"/>
  <c r="AG9" i="5" s="1"/>
  <c r="AF10" i="5"/>
  <c r="AG10" i="5" s="1"/>
  <c r="AF11" i="5"/>
  <c r="AG11" i="5" s="1"/>
  <c r="AG22" i="5"/>
  <c r="AG26" i="5"/>
  <c r="AC3" i="5"/>
  <c r="AC6" i="5"/>
  <c r="AC7" i="5"/>
  <c r="AC23" i="5"/>
  <c r="AC25" i="5"/>
</calcChain>
</file>

<file path=xl/sharedStrings.xml><?xml version="1.0" encoding="utf-8"?>
<sst xmlns="http://schemas.openxmlformats.org/spreadsheetml/2006/main" count="146" uniqueCount="94">
  <si>
    <r>
      <t>Structural complexity</t>
    </r>
    <r>
      <rPr>
        <sz val="12"/>
        <color theme="1"/>
        <rFont val="Aptos Display"/>
        <family val="2"/>
        <scheme val="major"/>
      </rPr>
      <t xml:space="preserve">
</t>
    </r>
    <r>
      <rPr>
        <u/>
        <sz val="12"/>
        <color theme="1"/>
        <rFont val="Aptos Display"/>
        <family val="2"/>
        <scheme val="major"/>
      </rPr>
      <t>presence: 1; absence: 0</t>
    </r>
  </si>
  <si>
    <r>
      <t xml:space="preserve">Spatial configuration /landscape features
</t>
    </r>
    <r>
      <rPr>
        <u/>
        <sz val="12"/>
        <color theme="1"/>
        <rFont val="Aptos Display"/>
        <family val="2"/>
        <scheme val="major"/>
      </rPr>
      <t>presence: 1; absence: 0</t>
    </r>
  </si>
  <si>
    <r>
      <t xml:space="preserve">Clues of anthropic intervention 
</t>
    </r>
    <r>
      <rPr>
        <u/>
        <sz val="11"/>
        <color theme="1"/>
        <rFont val="Aptos Display"/>
        <family val="2"/>
        <scheme val="major"/>
      </rPr>
      <t>*presence: 0; absence: 1</t>
    </r>
  </si>
  <si>
    <t xml:space="preserve">Arrondissement </t>
  </si>
  <si>
    <t>Coordonées</t>
  </si>
  <si>
    <t>Sites</t>
  </si>
  <si>
    <t>"Quantity" : 0 = very few plants or many versy little plant ; 1 = medium or large number / size of plants</t>
  </si>
  <si>
    <t>Private areas</t>
  </si>
  <si>
    <t>0 = grey ; 1 = vegetation spontannée - non intentionel ; 2 = vegetated areas</t>
  </si>
  <si>
    <t>Side</t>
  </si>
  <si>
    <t>Date</t>
  </si>
  <si>
    <t>My subjective , first impresion scale (0-5)</t>
  </si>
  <si>
    <r>
      <rPr>
        <b/>
        <sz val="12"/>
        <color theme="1"/>
        <rFont val="Aptos Display"/>
        <family val="2"/>
        <scheme val="major"/>
      </rPr>
      <t>1. Seedlings</t>
    </r>
    <r>
      <rPr>
        <sz val="12"/>
        <color theme="1"/>
        <rFont val="Aptos Display"/>
        <family val="2"/>
        <scheme val="major"/>
      </rPr>
      <t>: Presence of clearly visible early life stages</t>
    </r>
  </si>
  <si>
    <r>
      <rPr>
        <b/>
        <sz val="12"/>
        <color theme="1"/>
        <rFont val="Aptos Display"/>
        <family val="2"/>
        <scheme val="major"/>
      </rPr>
      <t>2.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Reproduction stages</t>
    </r>
    <r>
      <rPr>
        <sz val="12"/>
        <color theme="1"/>
        <rFont val="Aptos Display"/>
        <family val="2"/>
        <scheme val="major"/>
      </rPr>
      <t>: Presence of reproduction stages (flowers and/or fruits).</t>
    </r>
  </si>
  <si>
    <r>
      <rPr>
        <b/>
        <sz val="12"/>
        <color theme="1"/>
        <rFont val="Aptos Display"/>
        <family val="2"/>
        <scheme val="major"/>
      </rPr>
      <t>3. Dead stages</t>
    </r>
    <r>
      <rPr>
        <sz val="12"/>
        <color theme="1"/>
        <rFont val="Aptos Display"/>
        <family val="2"/>
        <scheme val="major"/>
      </rPr>
      <t xml:space="preserve">: Presence of dead branches, stems or flowers in any of the three strata. </t>
    </r>
  </si>
  <si>
    <r>
      <rPr>
        <b/>
        <sz val="12"/>
        <color theme="1"/>
        <rFont val="Aptos Display"/>
        <family val="2"/>
        <scheme val="major"/>
      </rPr>
      <t>4.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Decomposition</t>
    </r>
    <r>
      <rPr>
        <sz val="12"/>
        <color theme="1"/>
        <rFont val="Aptos Display"/>
        <family val="2"/>
        <scheme val="major"/>
      </rPr>
      <t>: Presence of   decomposing parts in the ground, clearly visible (leaves, branches, trunks etc.)</t>
    </r>
  </si>
  <si>
    <r>
      <rPr>
        <b/>
        <sz val="12"/>
        <color theme="1"/>
        <rFont val="Aptos Display"/>
        <family val="2"/>
        <scheme val="major"/>
      </rPr>
      <t>5. Different strata</t>
    </r>
    <r>
      <rPr>
        <sz val="12"/>
        <color theme="1"/>
        <rFont val="Aptos Display"/>
        <family val="2"/>
        <scheme val="major"/>
      </rPr>
      <t>: Herbaceous, shrub, tree, lianas. At least 2.</t>
    </r>
  </si>
  <si>
    <r>
      <rPr>
        <b/>
        <sz val="12"/>
        <color theme="1"/>
        <rFont val="Aptos Display"/>
        <family val="2"/>
        <scheme val="major"/>
      </rPr>
      <t>6.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Colours of flowers</t>
    </r>
    <r>
      <rPr>
        <sz val="12"/>
        <color theme="1"/>
        <rFont val="Aptos Display"/>
        <family val="2"/>
        <scheme val="major"/>
      </rPr>
      <t>: Presence of different colours of flowers. At least 2.</t>
    </r>
  </si>
  <si>
    <r>
      <rPr>
        <b/>
        <sz val="12"/>
        <color theme="1"/>
        <rFont val="Aptos Display"/>
        <family val="2"/>
        <scheme val="major"/>
      </rPr>
      <t>1. Irregular topography</t>
    </r>
    <r>
      <rPr>
        <sz val="12"/>
        <color theme="1"/>
        <rFont val="Aptos Display"/>
        <family val="2"/>
        <scheme val="major"/>
      </rPr>
      <t>: Clearly visible uneven terrain.</t>
    </r>
  </si>
  <si>
    <r>
      <rPr>
        <b/>
        <sz val="12"/>
        <rFont val="Aptos Display"/>
        <family val="2"/>
        <scheme val="major"/>
      </rPr>
      <t>2. Irregularity in spatial distribution</t>
    </r>
    <r>
      <rPr>
        <sz val="12"/>
        <rFont val="Aptos Display"/>
        <family val="2"/>
        <scheme val="major"/>
      </rPr>
      <t>: Lack of clearly identifiable geometrical patterns and designed shapes.  (The lack of patterns counts 1.)</t>
    </r>
  </si>
  <si>
    <r>
      <rPr>
        <b/>
        <sz val="12"/>
        <color theme="1"/>
        <rFont val="Aptos Display"/>
        <family val="2"/>
        <scheme val="major"/>
      </rPr>
      <t>3.</t>
    </r>
    <r>
      <rPr>
        <sz val="12"/>
        <color theme="1"/>
        <rFont val="Aptos Display"/>
        <family val="2"/>
        <scheme val="major"/>
      </rPr>
      <t xml:space="preserve"> </t>
    </r>
    <r>
      <rPr>
        <b/>
        <sz val="12"/>
        <color theme="1"/>
        <rFont val="Aptos Display"/>
        <family val="2"/>
        <scheme val="major"/>
      </rPr>
      <t>Margins and edges</t>
    </r>
    <r>
      <rPr>
        <sz val="12"/>
        <color theme="1"/>
        <rFont val="Aptos Display"/>
        <family val="2"/>
        <scheme val="major"/>
      </rPr>
      <t>: Growth exceeds the geometry of the predefined and designed margins, including the whole plant with roots growing outside, as well as branches, stems, and leaves growing beyond the established boundaries.</t>
    </r>
  </si>
  <si>
    <r>
      <rPr>
        <b/>
        <sz val="12"/>
        <color theme="1"/>
        <rFont val="Aptos Display"/>
        <family val="2"/>
        <scheme val="major"/>
      </rPr>
      <t>4. Overgrown built artifacts</t>
    </r>
    <r>
      <rPr>
        <sz val="12"/>
        <color theme="1"/>
        <rFont val="Aptos Display"/>
        <family val="2"/>
        <scheme val="major"/>
      </rPr>
      <t>: Overgrown constructions and /or with signs of abandonment, such as ruins, walls. The predesigned limits of the site do not count as built artifacts.</t>
    </r>
  </si>
  <si>
    <r>
      <rPr>
        <b/>
        <sz val="12"/>
        <rFont val="Aptos Display"/>
        <family val="2"/>
        <scheme val="major"/>
      </rPr>
      <t>5. Overall perception of complexity, disorder, chaos, mystery</t>
    </r>
    <r>
      <rPr>
        <sz val="12"/>
        <rFont val="Aptos Display"/>
        <family val="2"/>
        <scheme val="major"/>
      </rPr>
      <t xml:space="preserve"> (hidden views, impression of many layers): Referring to the first impression of the site. </t>
    </r>
  </si>
  <si>
    <r>
      <rPr>
        <b/>
        <sz val="12"/>
        <color theme="1"/>
        <rFont val="Aptos Display"/>
        <family val="2"/>
        <scheme val="major"/>
      </rPr>
      <t>2. Materials or structures limiting free growth in the soil</t>
    </r>
    <r>
      <rPr>
        <sz val="12"/>
        <color theme="1"/>
        <rFont val="Aptos Display"/>
        <family val="2"/>
        <scheme val="major"/>
      </rPr>
      <t>: Presence of types of soil cover or structures preventing spontaneous plant growt</t>
    </r>
    <r>
      <rPr>
        <sz val="12"/>
        <rFont val="Aptos Display"/>
        <family val="2"/>
        <scheme val="major"/>
      </rPr>
      <t>h (cement, mulch, metal grids etc.)</t>
    </r>
    <r>
      <rPr>
        <sz val="12"/>
        <color theme="1"/>
        <rFont val="Aptos Display"/>
        <family val="2"/>
        <scheme val="major"/>
      </rPr>
      <t xml:space="preserve">
(0 : presence of structures; 1 absence)</t>
    </r>
  </si>
  <si>
    <r>
      <rPr>
        <b/>
        <sz val="12"/>
        <color theme="1"/>
        <rFont val="Aptos Display"/>
        <family val="2"/>
        <scheme val="major"/>
      </rPr>
      <t>3. Signs of pruning</t>
    </r>
    <r>
      <rPr>
        <sz val="12"/>
        <color theme="1"/>
        <rFont val="Aptos Display"/>
        <family val="2"/>
        <scheme val="major"/>
      </rPr>
      <t xml:space="preserve">: Such as trimmed forms of shrubs, evenly cut lawns, </t>
    </r>
    <r>
      <rPr>
        <sz val="12"/>
        <rFont val="Aptos Display"/>
        <family val="2"/>
        <scheme val="major"/>
      </rPr>
      <t>weeding</t>
    </r>
    <r>
      <rPr>
        <sz val="12"/>
        <color theme="1"/>
        <rFont val="Aptos Display"/>
        <family val="2"/>
        <scheme val="major"/>
      </rPr>
      <t>, from a general perspective. 
 (0: evidence of pruning; 1: no evidence)</t>
    </r>
  </si>
  <si>
    <r>
      <rPr>
        <b/>
        <sz val="12"/>
        <color theme="1"/>
        <rFont val="Aptos Display"/>
        <family val="2"/>
        <scheme val="major"/>
      </rPr>
      <t>5. Elements and structures</t>
    </r>
    <r>
      <rPr>
        <sz val="12"/>
        <color theme="1"/>
        <rFont val="Aptos Display"/>
        <family val="2"/>
        <scheme val="major"/>
      </rPr>
      <t>: Presence of signs, fences, bounding lines and margins, planting containers/boxes, structures to protect trees, grids, trash cans, lights, sport facilities, benches etc. In the vegetated area. 
(0 = presence of sturctures; 1 = absence of structures)</t>
    </r>
  </si>
  <si>
    <r>
      <rPr>
        <b/>
        <sz val="12"/>
        <color theme="1"/>
        <rFont val="Aptos Display"/>
        <family val="2"/>
        <scheme val="major"/>
      </rPr>
      <t>6. Planting interventions</t>
    </r>
    <r>
      <rPr>
        <sz val="12"/>
        <color theme="1"/>
        <rFont val="Aptos Display"/>
        <family val="2"/>
        <scheme val="major"/>
      </rPr>
      <t xml:space="preserve">: Clearly recognisable planted species such as (cactus, bamboos or seeded lawns), also </t>
    </r>
    <r>
      <rPr>
        <sz val="12"/>
        <color theme="5"/>
        <rFont val="Aptos Display"/>
        <family val="2"/>
        <scheme val="major"/>
      </rPr>
      <t>considering trees</t>
    </r>
    <r>
      <rPr>
        <sz val="12"/>
        <color theme="1"/>
        <rFont val="Aptos Display"/>
        <family val="2"/>
        <scheme val="major"/>
      </rPr>
      <t>. 
(0: evidence of planting; 1: absence of planting = spontaneous vegetation)</t>
    </r>
  </si>
  <si>
    <r>
      <rPr>
        <b/>
        <sz val="12"/>
        <rFont val="Aptos Display"/>
        <family val="2"/>
        <scheme val="major"/>
      </rPr>
      <t>7. Litter:</t>
    </r>
    <r>
      <rPr>
        <sz val="12"/>
        <rFont val="Aptos Display"/>
        <family val="2"/>
        <scheme val="major"/>
      </rPr>
      <t xml:space="preserve"> Presence of litter. Recognisable from regular visual perspective. (0 =  litter, 1 = no litter)</t>
    </r>
  </si>
  <si>
    <t>Complexity - cumulative</t>
  </si>
  <si>
    <t>Spatial - cumulative</t>
  </si>
  <si>
    <t>Management - cumulative</t>
  </si>
  <si>
    <t>Total wildness - cumulative</t>
  </si>
  <si>
    <t>Complexity</t>
  </si>
  <si>
    <t>Spatial</t>
  </si>
  <si>
    <t>Management</t>
  </si>
  <si>
    <t>Total wildness</t>
  </si>
  <si>
    <t>Comments</t>
  </si>
  <si>
    <t>Issues encountered</t>
  </si>
  <si>
    <t>5e</t>
  </si>
  <si>
    <t>48.8425383, 2.3615652</t>
  </si>
  <si>
    <t>Buf</t>
  </si>
  <si>
    <t>Odd</t>
  </si>
  <si>
    <t>19e</t>
  </si>
  <si>
    <t>48.87939, 2.38529</t>
  </si>
  <si>
    <t>Sol ciment/stabilisé très limitant : 1 à ant_limiting</t>
  </si>
  <si>
    <t>48.87988, 2.39167</t>
  </si>
  <si>
    <t>sans liane</t>
  </si>
  <si>
    <t>48.88012, 2.3985</t>
  </si>
  <si>
    <t>48.88451, 2.39577</t>
  </si>
  <si>
    <t>Topographie : small cracks making a "bosse" so 1</t>
  </si>
  <si>
    <t>48.88599, 2.3981</t>
  </si>
  <si>
    <t>/</t>
  </si>
  <si>
    <t>48.88568, 2.38995</t>
  </si>
  <si>
    <t>Even</t>
  </si>
  <si>
    <t>48.89055, 2.38671</t>
  </si>
  <si>
    <t>48.89808, 2.38228</t>
  </si>
  <si>
    <t>Tram</t>
  </si>
  <si>
    <t>abandonné pour sdmr</t>
  </si>
  <si>
    <t>48.87804, 2.40557</t>
  </si>
  <si>
    <t>Planted  : lot of planted but also lot of spontaneous...</t>
  </si>
  <si>
    <t>48.89002, 2.39686</t>
  </si>
  <si>
    <t>Stade</t>
  </si>
  <si>
    <t>48.87811, 2.38777</t>
  </si>
  <si>
    <t>48.87679, 2.38535</t>
  </si>
  <si>
    <t>Topographie 0 but the vegetalised space if "surélevé"</t>
  </si>
  <si>
    <t>48.87498, 2.38588</t>
  </si>
  <si>
    <t>7e</t>
  </si>
  <si>
    <t>48.8489, 2.30459</t>
  </si>
  <si>
    <t>Litter : first 0 but people came to clean the few litter there was, so I put 1</t>
  </si>
  <si>
    <t>48.85007, 2.31233</t>
  </si>
  <si>
    <t>Pelouse</t>
  </si>
  <si>
    <t>48.85041, 2.31423</t>
  </si>
  <si>
    <t>Square</t>
  </si>
  <si>
    <t>48.85052, 2.31954</t>
  </si>
  <si>
    <t>48.85575, 2.31666</t>
  </si>
  <si>
    <t>48.858, 2.3199</t>
  </si>
  <si>
    <t>48.85878, 2.30344</t>
  </si>
  <si>
    <t>48.86041, 2.30275</t>
  </si>
  <si>
    <t>48.85626, 2.29503</t>
  </si>
  <si>
    <t>48.85511, 2.296</t>
  </si>
  <si>
    <t>Parc</t>
  </si>
  <si>
    <t>48.86175, 2.3045</t>
  </si>
  <si>
    <t>cognac</t>
  </si>
  <si>
    <t>48.8608, 2.32009</t>
  </si>
  <si>
    <t>Courty</t>
  </si>
  <si>
    <t>48.85862, 2.32703</t>
  </si>
  <si>
    <t>verneuil</t>
  </si>
  <si>
    <t>48.85674, 2.32744</t>
  </si>
  <si>
    <t>Montalembert</t>
  </si>
  <si>
    <t>48.88622, 2.3799</t>
  </si>
  <si>
    <t>Tandou</t>
  </si>
  <si>
    <t>48.88326, 2.37388</t>
  </si>
  <si>
    <t>Lally</t>
  </si>
  <si>
    <t>avec liane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</si>
</sst>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Display"/>
      <family val="2"/>
      <scheme val="major"/>
    </font>
    <font>
      <b/>
      <sz val="9"/>
      <color rgb="FFFF0000"/>
      <name val="Aptos Display"/>
      <family val="2"/>
      <scheme val="major"/>
    </font>
    <font>
      <sz val="9"/>
      <color rgb="FFFF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color theme="5"/>
      <name val="Aptos Display"/>
      <family val="2"/>
      <scheme val="major"/>
    </font>
    <font>
      <b/>
      <sz val="12"/>
      <color theme="1"/>
      <name val="Aptos Display"/>
      <scheme val="major"/>
    </font>
    <font>
      <b/>
      <sz val="11"/>
      <color theme="1"/>
      <name val="Aptos Display"/>
      <family val="2"/>
      <scheme val="major"/>
    </font>
    <font>
      <u/>
      <sz val="11"/>
      <color theme="1"/>
      <name val="Aptos Display"/>
      <family val="2"/>
      <scheme val="major"/>
    </font>
    <font>
      <u/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CCCC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7" fillId="0" borderId="0" xfId="0" applyFont="1" applyAlignment="1">
      <alignment vertical="center" wrapText="1"/>
    </xf>
    <xf numFmtId="0" fontId="11" fillId="0" borderId="2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11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7" fillId="3" borderId="3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Titre du graphique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Titre du graphique</a:t>
          </a:r>
        </a:p>
      </cx:txPr>
    </cx:title>
    <cx:plotArea>
      <cx:plotAreaRegion>
        <cx:series layoutId="boxWhisker" uniqueId="{00000000-E0C8-4D3A-9633-BF28649D352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733425</xdr:colOff>
      <xdr:row>2</xdr:row>
      <xdr:rowOff>47625</xdr:rowOff>
    </xdr:from>
    <xdr:to>
      <xdr:col>38</xdr:col>
      <xdr:colOff>295275</xdr:colOff>
      <xdr:row>19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CAA7F921-FBC4-6BF7-FDCC-4219AED17F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EF42-CD6F-4144-8202-D50E1E1A911D}">
  <dimension ref="A1:AI58"/>
  <sheetViews>
    <sheetView tabSelected="1" zoomScale="55" zoomScaleNormal="55" workbookViewId="0">
      <pane xSplit="1" topLeftCell="B2" activePane="topRight" state="frozen"/>
      <selection pane="topRight" activeCell="G38" sqref="G38"/>
    </sheetView>
  </sheetViews>
  <sheetFormatPr defaultColWidth="8.7109375" defaultRowHeight="15" customHeight="1"/>
  <cols>
    <col min="1" max="1" width="19.7109375" style="1" customWidth="1"/>
    <col min="2" max="2" width="31" style="15" customWidth="1"/>
    <col min="3" max="3" width="23.5703125" style="2" customWidth="1"/>
    <col min="4" max="6" width="23.5703125" style="15" customWidth="1"/>
    <col min="7" max="8" width="23.5703125" style="2" customWidth="1"/>
    <col min="9" max="9" width="11.7109375" style="1" customWidth="1"/>
    <col min="10" max="17" width="18.42578125" style="1" customWidth="1"/>
    <col min="18" max="18" width="24.7109375" style="1" customWidth="1"/>
    <col min="19" max="24" width="18.42578125" style="1" customWidth="1"/>
    <col min="25" max="25" width="18.42578125" style="22" customWidth="1"/>
    <col min="26" max="33" width="15.7109375" style="1" customWidth="1"/>
    <col min="34" max="34" width="37.140625" style="1" customWidth="1"/>
    <col min="35" max="35" width="29.7109375" style="1" customWidth="1"/>
    <col min="36" max="16384" width="8.7109375" style="1"/>
  </cols>
  <sheetData>
    <row r="1" spans="1:35" ht="22.5" customHeight="1">
      <c r="J1" s="28" t="s">
        <v>0</v>
      </c>
      <c r="K1" s="29"/>
      <c r="L1" s="29"/>
      <c r="M1" s="29"/>
      <c r="N1" s="29"/>
      <c r="O1" s="29"/>
      <c r="P1" s="30" t="s">
        <v>1</v>
      </c>
      <c r="Q1" s="31"/>
      <c r="R1" s="31"/>
      <c r="S1" s="31"/>
      <c r="T1" s="32"/>
      <c r="U1" s="33" t="s">
        <v>2</v>
      </c>
      <c r="V1" s="33"/>
      <c r="W1" s="33"/>
      <c r="X1" s="33"/>
      <c r="Y1" s="33"/>
      <c r="Z1" s="13"/>
      <c r="AA1" s="13"/>
    </row>
    <row r="2" spans="1:35" s="3" customFormat="1" ht="53.25" customHeight="1">
      <c r="A2" s="14" t="s">
        <v>3</v>
      </c>
      <c r="B2" s="16" t="s">
        <v>4</v>
      </c>
      <c r="C2" s="14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2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1" t="s">
        <v>19</v>
      </c>
      <c r="R2" s="10" t="s">
        <v>20</v>
      </c>
      <c r="S2" s="10" t="s">
        <v>21</v>
      </c>
      <c r="T2" s="11" t="s">
        <v>22</v>
      </c>
      <c r="U2" s="10" t="s">
        <v>23</v>
      </c>
      <c r="V2" s="10" t="s">
        <v>24</v>
      </c>
      <c r="W2" s="10" t="s">
        <v>25</v>
      </c>
      <c r="X2" s="10" t="s">
        <v>26</v>
      </c>
      <c r="Y2" s="9" t="s">
        <v>27</v>
      </c>
      <c r="Z2" s="8" t="s">
        <v>28</v>
      </c>
      <c r="AA2" s="7" t="s">
        <v>29</v>
      </c>
      <c r="AB2" s="6" t="s">
        <v>30</v>
      </c>
      <c r="AC2" s="5" t="s">
        <v>31</v>
      </c>
      <c r="AD2" s="8" t="s">
        <v>32</v>
      </c>
      <c r="AE2" s="7" t="s">
        <v>33</v>
      </c>
      <c r="AF2" s="6" t="s">
        <v>34</v>
      </c>
      <c r="AG2" s="5" t="s">
        <v>35</v>
      </c>
      <c r="AH2" s="17" t="s">
        <v>36</v>
      </c>
      <c r="AI2" s="4" t="s">
        <v>37</v>
      </c>
    </row>
    <row r="3" spans="1:35">
      <c r="A3" s="18" t="s">
        <v>38</v>
      </c>
      <c r="B3" s="19" t="s">
        <v>39</v>
      </c>
      <c r="C3" s="20" t="s">
        <v>40</v>
      </c>
      <c r="D3" s="19">
        <v>1</v>
      </c>
      <c r="E3" s="19">
        <v>0</v>
      </c>
      <c r="F3" s="19">
        <v>2</v>
      </c>
      <c r="G3" s="20" t="s">
        <v>41</v>
      </c>
      <c r="H3" s="26">
        <v>46125</v>
      </c>
      <c r="I3" s="21">
        <v>3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0</v>
      </c>
      <c r="Q3" s="18">
        <v>0</v>
      </c>
      <c r="R3" s="18">
        <v>1</v>
      </c>
      <c r="S3" s="18">
        <v>0</v>
      </c>
      <c r="T3" s="18">
        <v>1</v>
      </c>
      <c r="U3" s="18">
        <v>1</v>
      </c>
      <c r="V3" s="18">
        <v>0</v>
      </c>
      <c r="W3" s="18">
        <v>0</v>
      </c>
      <c r="X3" s="18">
        <v>0</v>
      </c>
      <c r="Y3" s="18">
        <v>0</v>
      </c>
      <c r="Z3" s="1">
        <f>SUM(J3:O3)</f>
        <v>6</v>
      </c>
      <c r="AA3" s="1">
        <f>SUM(P3:T3)</f>
        <v>2</v>
      </c>
      <c r="AB3" s="1">
        <f>SUM(U3:Y3)</f>
        <v>1</v>
      </c>
      <c r="AC3" s="1">
        <f>SUM(Z3:AB3)</f>
        <v>9</v>
      </c>
      <c r="AD3" s="1">
        <f>Z3/6*5</f>
        <v>5</v>
      </c>
      <c r="AE3" s="1">
        <f>AA3/5*5</f>
        <v>2</v>
      </c>
      <c r="AF3" s="1">
        <f xml:space="preserve"> AB3/5*5</f>
        <v>1</v>
      </c>
      <c r="AG3" s="1">
        <f>SUM(AD3:AF3)/3</f>
        <v>2.6666666666666665</v>
      </c>
    </row>
    <row r="4" spans="1:35">
      <c r="A4" s="1" t="s">
        <v>42</v>
      </c>
      <c r="B4" s="15" t="s">
        <v>43</v>
      </c>
      <c r="C4" s="2">
        <v>8</v>
      </c>
      <c r="D4" s="15">
        <v>1</v>
      </c>
      <c r="E4" s="15">
        <v>0</v>
      </c>
      <c r="F4" s="15">
        <v>2</v>
      </c>
      <c r="G4" s="2" t="s">
        <v>41</v>
      </c>
      <c r="H4" s="27">
        <v>46126</v>
      </c>
      <c r="I4" s="1">
        <v>1</v>
      </c>
      <c r="J4" s="1">
        <v>1</v>
      </c>
      <c r="K4" s="1">
        <v>1</v>
      </c>
      <c r="L4" s="1">
        <v>0</v>
      </c>
      <c r="M4" s="1">
        <v>1</v>
      </c>
      <c r="N4" s="22">
        <v>1</v>
      </c>
      <c r="O4" s="1">
        <v>0</v>
      </c>
      <c r="P4" s="1">
        <v>0</v>
      </c>
      <c r="Q4" s="1">
        <v>0</v>
      </c>
      <c r="R4" s="22">
        <v>1</v>
      </c>
      <c r="S4" s="1">
        <v>0</v>
      </c>
      <c r="T4" s="1">
        <v>0</v>
      </c>
      <c r="U4" s="1">
        <v>1</v>
      </c>
      <c r="V4" s="1">
        <v>1</v>
      </c>
      <c r="W4" s="1">
        <v>0</v>
      </c>
      <c r="X4" s="1">
        <v>1</v>
      </c>
      <c r="Y4" s="22">
        <v>0</v>
      </c>
      <c r="Z4" s="1">
        <f>SUM(J4:O4)</f>
        <v>4</v>
      </c>
      <c r="AA4" s="1">
        <f>SUM(P4:T4)</f>
        <v>1</v>
      </c>
      <c r="AB4" s="1">
        <f>SUM(U4:Y4)</f>
        <v>3</v>
      </c>
      <c r="AC4" s="1">
        <f>SUM(Z4:AB4)</f>
        <v>8</v>
      </c>
      <c r="AD4" s="1">
        <f>Z4/6*5</f>
        <v>3.333333333333333</v>
      </c>
      <c r="AE4" s="1">
        <f>AA4/5*5</f>
        <v>1</v>
      </c>
      <c r="AF4" s="1">
        <f xml:space="preserve"> AB4/5*5</f>
        <v>3</v>
      </c>
      <c r="AG4" s="1">
        <f>SUM(AD4:AF4)/3</f>
        <v>2.4444444444444442</v>
      </c>
      <c r="AH4" s="1" t="s">
        <v>44</v>
      </c>
      <c r="AI4" s="23"/>
    </row>
    <row r="5" spans="1:35">
      <c r="A5" s="1" t="s">
        <v>42</v>
      </c>
      <c r="B5" s="15" t="s">
        <v>45</v>
      </c>
      <c r="C5" s="15">
        <v>11</v>
      </c>
      <c r="D5" s="15">
        <v>1</v>
      </c>
      <c r="E5" s="15">
        <v>1</v>
      </c>
      <c r="F5" s="15">
        <v>1</v>
      </c>
      <c r="G5" s="2" t="s">
        <v>41</v>
      </c>
      <c r="H5" s="27">
        <v>46126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1</v>
      </c>
      <c r="Y5" s="22">
        <v>0</v>
      </c>
      <c r="Z5" s="1">
        <f>SUM(J5:O5)</f>
        <v>1</v>
      </c>
      <c r="AA5" s="1">
        <f>SUM(P5:T5)</f>
        <v>2</v>
      </c>
      <c r="AB5" s="1">
        <f>SUM(U5:Y5)</f>
        <v>2</v>
      </c>
      <c r="AC5" s="1">
        <f>SUM(Z5:AB5)</f>
        <v>5</v>
      </c>
      <c r="AD5" s="1">
        <f>Z5/6*5</f>
        <v>0.83333333333333326</v>
      </c>
      <c r="AE5" s="1">
        <f>AA5/5*5</f>
        <v>2</v>
      </c>
      <c r="AF5" s="1">
        <f xml:space="preserve"> AB5/5*5</f>
        <v>2</v>
      </c>
      <c r="AG5" s="1">
        <f>SUM(AD5:AF5)/3</f>
        <v>1.6111111111111109</v>
      </c>
      <c r="AH5" s="1" t="s">
        <v>46</v>
      </c>
    </row>
    <row r="6" spans="1:35">
      <c r="A6" s="1" t="s">
        <v>42</v>
      </c>
      <c r="B6" s="15" t="s">
        <v>47</v>
      </c>
      <c r="C6" s="15">
        <v>26</v>
      </c>
      <c r="D6" s="15">
        <v>1</v>
      </c>
      <c r="E6" s="15">
        <v>0</v>
      </c>
      <c r="F6" s="15">
        <v>2</v>
      </c>
      <c r="G6" s="2" t="s">
        <v>41</v>
      </c>
      <c r="H6" s="27">
        <v>46126</v>
      </c>
      <c r="I6" s="1">
        <v>2.5</v>
      </c>
      <c r="J6" s="1">
        <v>1</v>
      </c>
      <c r="K6" s="1">
        <v>0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1</v>
      </c>
      <c r="Y6" s="22">
        <v>0</v>
      </c>
      <c r="Z6" s="1">
        <f>SUM(J6:O6)</f>
        <v>4</v>
      </c>
      <c r="AA6" s="1">
        <f>SUM(P6:T6)</f>
        <v>1</v>
      </c>
      <c r="AB6" s="1">
        <f>SUM(U6:Y6)</f>
        <v>3</v>
      </c>
      <c r="AC6" s="1">
        <f>SUM(Z6:AB6)</f>
        <v>8</v>
      </c>
      <c r="AD6" s="1">
        <f>Z6/6*5</f>
        <v>3.333333333333333</v>
      </c>
      <c r="AE6" s="1">
        <f>AA6/5*5</f>
        <v>1</v>
      </c>
      <c r="AF6" s="1">
        <f xml:space="preserve"> AB6/5*5</f>
        <v>3</v>
      </c>
      <c r="AG6" s="1">
        <f>SUM(AD6:AF6)/3</f>
        <v>2.4444444444444442</v>
      </c>
    </row>
    <row r="7" spans="1:35">
      <c r="A7" s="1" t="s">
        <v>42</v>
      </c>
      <c r="B7" s="15" t="s">
        <v>48</v>
      </c>
      <c r="C7" s="15">
        <v>17</v>
      </c>
      <c r="D7" s="15">
        <v>1</v>
      </c>
      <c r="E7" s="15">
        <v>0</v>
      </c>
      <c r="F7" s="15">
        <v>2</v>
      </c>
      <c r="G7" s="2" t="s">
        <v>41</v>
      </c>
      <c r="H7" s="27">
        <v>46126</v>
      </c>
      <c r="I7" s="1">
        <v>2</v>
      </c>
      <c r="J7" s="1">
        <v>1</v>
      </c>
      <c r="K7" s="1">
        <v>0</v>
      </c>
      <c r="L7" s="1">
        <v>0</v>
      </c>
      <c r="M7" s="1">
        <v>1</v>
      </c>
      <c r="N7" s="22">
        <v>1</v>
      </c>
      <c r="O7" s="1">
        <v>0</v>
      </c>
      <c r="P7" s="1">
        <v>1</v>
      </c>
      <c r="Q7" s="22">
        <v>0</v>
      </c>
      <c r="R7" s="1">
        <v>1</v>
      </c>
      <c r="S7" s="1">
        <v>0</v>
      </c>
      <c r="T7" s="1">
        <v>0</v>
      </c>
      <c r="U7" s="1">
        <v>1</v>
      </c>
      <c r="V7" s="1">
        <v>1</v>
      </c>
      <c r="W7" s="22">
        <v>0</v>
      </c>
      <c r="X7" s="22">
        <v>1</v>
      </c>
      <c r="Y7" s="22">
        <v>0</v>
      </c>
      <c r="Z7" s="1">
        <f t="shared" ref="Z7:Z11" si="0">SUM(J7:O7)</f>
        <v>3</v>
      </c>
      <c r="AA7" s="1">
        <f t="shared" ref="AA7:AA11" si="1">SUM(P7:T7)</f>
        <v>2</v>
      </c>
      <c r="AB7" s="1">
        <f t="shared" ref="AB7:AB11" si="2">SUM(U7:Y7)</f>
        <v>3</v>
      </c>
      <c r="AC7" s="1">
        <f t="shared" ref="AC7:AC11" si="3">SUM(Z7:AB7)</f>
        <v>8</v>
      </c>
      <c r="AD7" s="1">
        <f>Z7/6*5</f>
        <v>2.5</v>
      </c>
      <c r="AE7" s="1">
        <f>AA7/5*5</f>
        <v>2</v>
      </c>
      <c r="AF7" s="1">
        <f xml:space="preserve"> AB7/5*5</f>
        <v>3</v>
      </c>
      <c r="AG7" s="1">
        <f>SUM(AD7:AF7)/3</f>
        <v>2.5</v>
      </c>
      <c r="AH7" s="1" t="s">
        <v>49</v>
      </c>
      <c r="AI7" s="24"/>
    </row>
    <row r="8" spans="1:35">
      <c r="A8" s="1" t="s">
        <v>42</v>
      </c>
      <c r="B8" s="15" t="s">
        <v>50</v>
      </c>
      <c r="C8" s="15">
        <v>30</v>
      </c>
      <c r="D8" s="15">
        <v>1</v>
      </c>
      <c r="E8" s="15">
        <v>0</v>
      </c>
      <c r="F8" s="15">
        <v>2</v>
      </c>
      <c r="G8" s="2" t="s">
        <v>51</v>
      </c>
      <c r="H8" s="27">
        <v>46126</v>
      </c>
      <c r="I8" s="1">
        <v>3.5</v>
      </c>
      <c r="J8" s="1">
        <v>1</v>
      </c>
      <c r="K8" s="1">
        <v>1</v>
      </c>
      <c r="L8" s="1">
        <v>1</v>
      </c>
      <c r="M8" s="1">
        <v>0</v>
      </c>
      <c r="N8" s="22">
        <v>1</v>
      </c>
      <c r="O8" s="1">
        <v>1</v>
      </c>
      <c r="P8" s="1">
        <v>0</v>
      </c>
      <c r="Q8" s="1">
        <v>1</v>
      </c>
      <c r="R8" s="1">
        <v>1</v>
      </c>
      <c r="S8" s="1">
        <v>0</v>
      </c>
      <c r="T8" s="1">
        <v>0</v>
      </c>
      <c r="U8" s="1">
        <v>1</v>
      </c>
      <c r="V8" s="1">
        <v>1</v>
      </c>
      <c r="W8" s="22">
        <v>0</v>
      </c>
      <c r="X8" s="22">
        <v>1</v>
      </c>
      <c r="Y8" s="22">
        <v>0</v>
      </c>
      <c r="Z8" s="1">
        <f t="shared" si="0"/>
        <v>5</v>
      </c>
      <c r="AA8" s="1">
        <f t="shared" si="1"/>
        <v>2</v>
      </c>
      <c r="AB8" s="1">
        <f t="shared" si="2"/>
        <v>3</v>
      </c>
      <c r="AC8" s="1">
        <f t="shared" si="3"/>
        <v>10</v>
      </c>
      <c r="AD8" s="1">
        <f>Z8/6*5</f>
        <v>4.166666666666667</v>
      </c>
      <c r="AE8" s="1">
        <f>AA8/5*5</f>
        <v>2</v>
      </c>
      <c r="AF8" s="1">
        <f xml:space="preserve"> AB8/5*5</f>
        <v>3</v>
      </c>
      <c r="AG8" s="1">
        <f>SUM(AD8:AF8)/3</f>
        <v>3.0555555555555558</v>
      </c>
      <c r="AI8" s="23"/>
    </row>
    <row r="9" spans="1:35">
      <c r="A9" s="1" t="s">
        <v>42</v>
      </c>
      <c r="B9" s="15" t="s">
        <v>52</v>
      </c>
      <c r="C9" s="15">
        <v>20</v>
      </c>
      <c r="D9" s="15">
        <v>1</v>
      </c>
      <c r="E9" s="15">
        <v>0</v>
      </c>
      <c r="F9" s="15">
        <v>2</v>
      </c>
      <c r="G9" s="2" t="s">
        <v>53</v>
      </c>
      <c r="H9" s="27">
        <v>46126</v>
      </c>
      <c r="I9" s="1">
        <v>3.5</v>
      </c>
      <c r="J9" s="1">
        <v>1</v>
      </c>
      <c r="K9" s="1">
        <v>1</v>
      </c>
      <c r="L9" s="1">
        <v>1</v>
      </c>
      <c r="M9" s="1">
        <v>1</v>
      </c>
      <c r="N9" s="22">
        <v>1</v>
      </c>
      <c r="O9" s="1">
        <v>0</v>
      </c>
      <c r="P9" s="1">
        <v>1</v>
      </c>
      <c r="Q9" s="1">
        <v>1</v>
      </c>
      <c r="R9" s="1">
        <v>1</v>
      </c>
      <c r="S9" s="1">
        <v>0</v>
      </c>
      <c r="T9" s="1">
        <v>0</v>
      </c>
      <c r="U9" s="1">
        <v>1</v>
      </c>
      <c r="V9" s="1">
        <v>1</v>
      </c>
      <c r="W9" s="22">
        <v>0</v>
      </c>
      <c r="X9" s="22">
        <v>1</v>
      </c>
      <c r="Y9" s="22">
        <v>0</v>
      </c>
      <c r="Z9" s="1">
        <f t="shared" si="0"/>
        <v>5</v>
      </c>
      <c r="AA9" s="1">
        <f t="shared" si="1"/>
        <v>3</v>
      </c>
      <c r="AB9" s="1">
        <f t="shared" si="2"/>
        <v>3</v>
      </c>
      <c r="AC9" s="1">
        <f t="shared" si="3"/>
        <v>11</v>
      </c>
      <c r="AD9" s="1">
        <f>Z9/6*5</f>
        <v>4.166666666666667</v>
      </c>
      <c r="AE9" s="1">
        <f>AA9/5*5</f>
        <v>3</v>
      </c>
      <c r="AF9" s="1">
        <f xml:space="preserve"> AB9/5*5</f>
        <v>3</v>
      </c>
      <c r="AG9" s="1">
        <f>SUM(AD9:AF9)/3</f>
        <v>3.3888888888888893</v>
      </c>
      <c r="AI9" s="25"/>
    </row>
    <row r="10" spans="1:35">
      <c r="A10" s="1" t="s">
        <v>42</v>
      </c>
      <c r="B10" s="15" t="s">
        <v>54</v>
      </c>
      <c r="C10" s="15">
        <v>2</v>
      </c>
      <c r="D10" s="15">
        <v>1</v>
      </c>
      <c r="E10" s="15">
        <v>0</v>
      </c>
      <c r="F10" s="15">
        <v>2</v>
      </c>
      <c r="G10" s="2" t="s">
        <v>41</v>
      </c>
      <c r="H10" s="27">
        <v>46126</v>
      </c>
      <c r="I10" s="1">
        <v>2.5</v>
      </c>
      <c r="J10" s="1">
        <v>1</v>
      </c>
      <c r="K10" s="1">
        <v>1</v>
      </c>
      <c r="L10" s="1">
        <v>1</v>
      </c>
      <c r="M10" s="1">
        <v>0</v>
      </c>
      <c r="N10" s="22">
        <v>1</v>
      </c>
      <c r="O10" s="1">
        <v>0</v>
      </c>
      <c r="P10" s="1">
        <v>0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22">
        <v>0</v>
      </c>
      <c r="X10" s="22">
        <v>1</v>
      </c>
      <c r="Y10" s="22">
        <v>1</v>
      </c>
      <c r="Z10" s="1">
        <f t="shared" si="0"/>
        <v>4</v>
      </c>
      <c r="AA10" s="1">
        <f t="shared" si="1"/>
        <v>2</v>
      </c>
      <c r="AB10" s="1">
        <f t="shared" si="2"/>
        <v>3</v>
      </c>
      <c r="AC10" s="1">
        <f t="shared" si="3"/>
        <v>9</v>
      </c>
      <c r="AD10" s="1">
        <f>Z10/6*5</f>
        <v>3.333333333333333</v>
      </c>
      <c r="AE10" s="1">
        <f>AA10/5*5</f>
        <v>2</v>
      </c>
      <c r="AF10" s="1">
        <f xml:space="preserve"> AB10/5*5</f>
        <v>3</v>
      </c>
      <c r="AG10" s="1">
        <f>SUM(AD10:AF10)/3</f>
        <v>2.7777777777777772</v>
      </c>
      <c r="AI10" s="23"/>
    </row>
    <row r="11" spans="1:35">
      <c r="A11" s="1" t="s">
        <v>42</v>
      </c>
      <c r="B11" s="15" t="s">
        <v>55</v>
      </c>
      <c r="C11" s="15">
        <v>21</v>
      </c>
      <c r="D11" s="15">
        <v>1</v>
      </c>
      <c r="E11" s="15">
        <v>0</v>
      </c>
      <c r="F11" s="15">
        <v>2</v>
      </c>
      <c r="G11" s="2" t="s">
        <v>56</v>
      </c>
      <c r="H11" s="27">
        <v>46127</v>
      </c>
      <c r="I11" s="1">
        <v>3</v>
      </c>
      <c r="J11" s="1">
        <v>1</v>
      </c>
      <c r="K11" s="1">
        <v>1</v>
      </c>
      <c r="L11" s="1">
        <v>0</v>
      </c>
      <c r="M11" s="1">
        <v>1</v>
      </c>
      <c r="N11" s="1">
        <v>1</v>
      </c>
      <c r="O11" s="1">
        <v>1</v>
      </c>
      <c r="P11" s="1">
        <v>0</v>
      </c>
      <c r="Q11" s="1">
        <v>1</v>
      </c>
      <c r="R11" s="1">
        <v>1</v>
      </c>
      <c r="S11" s="1">
        <v>0</v>
      </c>
      <c r="T11" s="1">
        <v>0</v>
      </c>
      <c r="U11" s="1">
        <v>1</v>
      </c>
      <c r="V11" s="1">
        <v>1</v>
      </c>
      <c r="W11" s="1">
        <v>0</v>
      </c>
      <c r="X11" s="1">
        <v>1</v>
      </c>
      <c r="Y11" s="22">
        <v>0</v>
      </c>
      <c r="Z11" s="1">
        <f t="shared" si="0"/>
        <v>5</v>
      </c>
      <c r="AA11" s="1">
        <f t="shared" si="1"/>
        <v>2</v>
      </c>
      <c r="AB11" s="1">
        <f t="shared" si="2"/>
        <v>3</v>
      </c>
      <c r="AC11" s="1">
        <f t="shared" si="3"/>
        <v>10</v>
      </c>
      <c r="AD11" s="1">
        <f>Z11/6*5</f>
        <v>4.166666666666667</v>
      </c>
      <c r="AE11" s="1">
        <f>AA11/5*5</f>
        <v>2</v>
      </c>
      <c r="AF11" s="1">
        <f xml:space="preserve"> AB11/5*5</f>
        <v>3</v>
      </c>
      <c r="AG11" s="1">
        <f>SUM(AD11:AF11)/3</f>
        <v>3.0555555555555558</v>
      </c>
      <c r="AH11" s="1" t="s">
        <v>57</v>
      </c>
    </row>
    <row r="12" spans="1:35">
      <c r="A12" s="1" t="s">
        <v>42</v>
      </c>
      <c r="B12" s="15" t="s">
        <v>58</v>
      </c>
      <c r="C12" s="15">
        <v>33</v>
      </c>
      <c r="D12" s="15">
        <v>1</v>
      </c>
      <c r="E12" s="15">
        <v>0</v>
      </c>
      <c r="F12" s="15">
        <v>2</v>
      </c>
      <c r="G12" s="2" t="s">
        <v>56</v>
      </c>
      <c r="H12" s="27">
        <v>46127</v>
      </c>
      <c r="I12" s="1">
        <v>3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0</v>
      </c>
      <c r="Q12" s="1">
        <v>1</v>
      </c>
      <c r="R12" s="1">
        <v>1</v>
      </c>
      <c r="S12" s="1">
        <v>0</v>
      </c>
      <c r="T12" s="1">
        <v>1</v>
      </c>
      <c r="U12" s="1">
        <v>1</v>
      </c>
      <c r="V12" s="1">
        <v>1</v>
      </c>
      <c r="W12" s="1">
        <v>0</v>
      </c>
      <c r="X12" s="1">
        <v>0</v>
      </c>
      <c r="Y12" s="22">
        <v>0</v>
      </c>
      <c r="Z12" s="1">
        <f t="shared" ref="Z12:Z21" si="4">SUM(J12:O12)</f>
        <v>6</v>
      </c>
      <c r="AA12" s="1">
        <f t="shared" ref="AA12:AA21" si="5">SUM(P12:T12)</f>
        <v>3</v>
      </c>
      <c r="AB12" s="1">
        <f t="shared" ref="AB12:AB21" si="6">SUM(U12:Y12)</f>
        <v>2</v>
      </c>
      <c r="AC12" s="1">
        <f t="shared" ref="AC12:AC21" si="7">SUM(Z12:AB12)</f>
        <v>11</v>
      </c>
      <c r="AD12" s="1">
        <f t="shared" ref="AD12:AD21" si="8">Z12/6*5</f>
        <v>5</v>
      </c>
      <c r="AE12" s="1">
        <f t="shared" ref="AE12:AE21" si="9">AA12/5*5</f>
        <v>3</v>
      </c>
      <c r="AF12" s="1">
        <f t="shared" ref="AF12:AF21" si="10" xml:space="preserve"> AB12/5*5</f>
        <v>2</v>
      </c>
      <c r="AG12" s="1">
        <f t="shared" ref="AG12:AG21" si="11">SUM(AD12:AF12)/3</f>
        <v>3.3333333333333335</v>
      </c>
      <c r="AH12" s="1" t="s">
        <v>59</v>
      </c>
    </row>
    <row r="13" spans="1:35">
      <c r="A13" s="1" t="s">
        <v>42</v>
      </c>
      <c r="B13" s="15" t="s">
        <v>60</v>
      </c>
      <c r="C13" s="15">
        <v>27</v>
      </c>
      <c r="D13" s="15">
        <v>1</v>
      </c>
      <c r="E13" s="15">
        <v>0</v>
      </c>
      <c r="F13" s="15">
        <v>1</v>
      </c>
      <c r="G13" s="2" t="s">
        <v>61</v>
      </c>
      <c r="H13" s="27">
        <v>46127</v>
      </c>
      <c r="I13" s="1">
        <v>1.5</v>
      </c>
      <c r="J13" s="1">
        <v>1</v>
      </c>
      <c r="K13" s="1">
        <v>1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1</v>
      </c>
      <c r="Y13" s="22">
        <v>1</v>
      </c>
      <c r="Z13" s="1">
        <f t="shared" si="4"/>
        <v>3</v>
      </c>
      <c r="AA13" s="1">
        <f t="shared" si="5"/>
        <v>1</v>
      </c>
      <c r="AB13" s="1">
        <f t="shared" si="6"/>
        <v>3</v>
      </c>
      <c r="AC13" s="1">
        <f t="shared" si="7"/>
        <v>7</v>
      </c>
      <c r="AD13" s="1">
        <f t="shared" si="8"/>
        <v>2.5</v>
      </c>
      <c r="AE13" s="1">
        <f t="shared" si="9"/>
        <v>1</v>
      </c>
      <c r="AF13" s="1">
        <f t="shared" si="10"/>
        <v>3</v>
      </c>
      <c r="AG13" s="1">
        <f t="shared" si="11"/>
        <v>2.1666666666666665</v>
      </c>
    </row>
    <row r="14" spans="1:35">
      <c r="A14" s="1" t="s">
        <v>42</v>
      </c>
      <c r="B14" s="15" t="s">
        <v>62</v>
      </c>
      <c r="C14" s="15">
        <v>6</v>
      </c>
      <c r="D14" s="15">
        <v>0</v>
      </c>
      <c r="E14" s="15">
        <v>0</v>
      </c>
      <c r="F14" s="15">
        <v>2</v>
      </c>
      <c r="G14" s="2" t="s">
        <v>53</v>
      </c>
      <c r="H14" s="27">
        <v>46127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22">
        <v>1</v>
      </c>
      <c r="Z14" s="1">
        <f t="shared" si="4"/>
        <v>2</v>
      </c>
      <c r="AA14" s="1">
        <f t="shared" si="5"/>
        <v>0</v>
      </c>
      <c r="AB14" s="1">
        <f t="shared" si="6"/>
        <v>2</v>
      </c>
      <c r="AC14" s="1">
        <f t="shared" si="7"/>
        <v>4</v>
      </c>
      <c r="AD14" s="1">
        <f t="shared" si="8"/>
        <v>1.6666666666666665</v>
      </c>
      <c r="AE14" s="1">
        <f t="shared" si="9"/>
        <v>0</v>
      </c>
      <c r="AF14" s="1">
        <f t="shared" si="10"/>
        <v>2</v>
      </c>
      <c r="AG14" s="1">
        <f t="shared" si="11"/>
        <v>1.2222222222222221</v>
      </c>
    </row>
    <row r="15" spans="1:35">
      <c r="A15" s="1" t="s">
        <v>42</v>
      </c>
      <c r="B15" s="15" t="s">
        <v>63</v>
      </c>
      <c r="C15" s="15">
        <v>4</v>
      </c>
      <c r="D15" s="15">
        <v>1</v>
      </c>
      <c r="E15" s="15">
        <v>0</v>
      </c>
      <c r="F15" s="15">
        <v>2</v>
      </c>
      <c r="G15" s="2" t="s">
        <v>41</v>
      </c>
      <c r="H15" s="27">
        <v>46127</v>
      </c>
      <c r="I15" s="1">
        <v>4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0</v>
      </c>
      <c r="Q15" s="1">
        <v>1</v>
      </c>
      <c r="R15" s="1">
        <v>1</v>
      </c>
      <c r="S15" s="1">
        <v>0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22">
        <v>0</v>
      </c>
      <c r="Z15" s="1">
        <f t="shared" si="4"/>
        <v>6</v>
      </c>
      <c r="AA15" s="1">
        <f t="shared" si="5"/>
        <v>3</v>
      </c>
      <c r="AB15" s="1">
        <f t="shared" si="6"/>
        <v>2</v>
      </c>
      <c r="AC15" s="1">
        <f t="shared" si="7"/>
        <v>11</v>
      </c>
      <c r="AD15" s="1">
        <f t="shared" si="8"/>
        <v>5</v>
      </c>
      <c r="AE15" s="1">
        <f t="shared" si="9"/>
        <v>3</v>
      </c>
      <c r="AF15" s="1">
        <f t="shared" si="10"/>
        <v>2</v>
      </c>
      <c r="AG15" s="1">
        <f t="shared" si="11"/>
        <v>3.3333333333333335</v>
      </c>
      <c r="AH15" s="1" t="s">
        <v>64</v>
      </c>
    </row>
    <row r="16" spans="1:35">
      <c r="A16" s="1" t="s">
        <v>42</v>
      </c>
      <c r="B16" s="15" t="s">
        <v>65</v>
      </c>
      <c r="C16" s="15">
        <v>1</v>
      </c>
      <c r="D16" s="15">
        <v>0</v>
      </c>
      <c r="E16" s="15">
        <v>0</v>
      </c>
      <c r="F16" s="15">
        <v>1</v>
      </c>
      <c r="G16" s="2" t="s">
        <v>41</v>
      </c>
      <c r="H16" s="27">
        <v>46127</v>
      </c>
      <c r="I16" s="1">
        <v>1.5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22">
        <v>0</v>
      </c>
      <c r="Z16" s="1">
        <f t="shared" si="4"/>
        <v>2</v>
      </c>
      <c r="AA16" s="1">
        <f t="shared" si="5"/>
        <v>1</v>
      </c>
      <c r="AB16" s="1">
        <f t="shared" si="6"/>
        <v>1</v>
      </c>
      <c r="AC16" s="1">
        <f t="shared" si="7"/>
        <v>4</v>
      </c>
      <c r="AD16" s="1">
        <f t="shared" si="8"/>
        <v>1.6666666666666665</v>
      </c>
      <c r="AE16" s="1">
        <f t="shared" si="9"/>
        <v>1</v>
      </c>
      <c r="AF16" s="1">
        <f t="shared" si="10"/>
        <v>1</v>
      </c>
      <c r="AG16" s="1">
        <f t="shared" si="11"/>
        <v>1.2222222222222221</v>
      </c>
    </row>
    <row r="17" spans="1:34">
      <c r="A17" s="1" t="s">
        <v>66</v>
      </c>
      <c r="B17" s="15" t="s">
        <v>67</v>
      </c>
      <c r="C17" s="15">
        <v>1</v>
      </c>
      <c r="D17" s="15">
        <v>1</v>
      </c>
      <c r="E17" s="15">
        <v>0</v>
      </c>
      <c r="F17" s="15">
        <v>2</v>
      </c>
      <c r="G17" s="2" t="s">
        <v>53</v>
      </c>
      <c r="H17" s="27">
        <v>46128</v>
      </c>
      <c r="I17" s="1">
        <v>3</v>
      </c>
      <c r="J17" s="1">
        <v>1</v>
      </c>
      <c r="K17" s="1">
        <v>1</v>
      </c>
      <c r="L17" s="1">
        <v>0</v>
      </c>
      <c r="M17" s="1">
        <v>1</v>
      </c>
      <c r="N17" s="1">
        <v>1</v>
      </c>
      <c r="O17" s="1">
        <v>1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1</v>
      </c>
      <c r="V17" s="1">
        <v>1</v>
      </c>
      <c r="W17" s="1">
        <v>0</v>
      </c>
      <c r="X17" s="1">
        <v>1</v>
      </c>
      <c r="Y17" s="22">
        <v>1</v>
      </c>
      <c r="Z17" s="1">
        <f t="shared" si="4"/>
        <v>5</v>
      </c>
      <c r="AA17" s="1">
        <f t="shared" si="5"/>
        <v>1</v>
      </c>
      <c r="AB17" s="1">
        <f t="shared" si="6"/>
        <v>4</v>
      </c>
      <c r="AC17" s="1">
        <f t="shared" si="7"/>
        <v>10</v>
      </c>
      <c r="AD17" s="1">
        <f t="shared" si="8"/>
        <v>4.166666666666667</v>
      </c>
      <c r="AE17" s="1">
        <f t="shared" si="9"/>
        <v>1</v>
      </c>
      <c r="AF17" s="1">
        <f t="shared" si="10"/>
        <v>4</v>
      </c>
      <c r="AG17" s="1">
        <f t="shared" si="11"/>
        <v>3.0555555555555558</v>
      </c>
      <c r="AH17" s="1" t="s">
        <v>68</v>
      </c>
    </row>
    <row r="18" spans="1:34">
      <c r="A18" s="1" t="s">
        <v>66</v>
      </c>
      <c r="B18" s="15" t="s">
        <v>69</v>
      </c>
      <c r="C18" s="15">
        <v>9</v>
      </c>
      <c r="D18" s="15">
        <v>1</v>
      </c>
      <c r="E18" s="15">
        <v>0</v>
      </c>
      <c r="F18" s="15">
        <v>2</v>
      </c>
      <c r="G18" s="2" t="s">
        <v>70</v>
      </c>
      <c r="H18" s="27">
        <v>46128</v>
      </c>
      <c r="I18" s="1">
        <v>2</v>
      </c>
      <c r="J18" s="1">
        <v>1</v>
      </c>
      <c r="K18" s="1">
        <v>1</v>
      </c>
      <c r="L18" s="1">
        <v>1</v>
      </c>
      <c r="M18" s="1">
        <v>0</v>
      </c>
      <c r="N18" s="1">
        <v>1</v>
      </c>
      <c r="O18" s="1">
        <v>1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22">
        <v>1</v>
      </c>
      <c r="Z18" s="1">
        <f t="shared" si="4"/>
        <v>5</v>
      </c>
      <c r="AA18" s="1">
        <f t="shared" si="5"/>
        <v>1</v>
      </c>
      <c r="AB18" s="1">
        <f t="shared" si="6"/>
        <v>3</v>
      </c>
      <c r="AC18" s="1">
        <f t="shared" si="7"/>
        <v>9</v>
      </c>
      <c r="AD18" s="1">
        <f t="shared" si="8"/>
        <v>4.166666666666667</v>
      </c>
      <c r="AE18" s="1">
        <f t="shared" si="9"/>
        <v>1</v>
      </c>
      <c r="AF18" s="1">
        <f t="shared" si="10"/>
        <v>3</v>
      </c>
      <c r="AG18" s="1">
        <f t="shared" si="11"/>
        <v>2.7222222222222228</v>
      </c>
    </row>
    <row r="19" spans="1:34">
      <c r="A19" s="1" t="s">
        <v>66</v>
      </c>
      <c r="B19" s="15" t="s">
        <v>71</v>
      </c>
      <c r="C19" s="15">
        <v>8</v>
      </c>
      <c r="D19" s="15">
        <v>1</v>
      </c>
      <c r="E19" s="15">
        <v>0</v>
      </c>
      <c r="F19" s="15">
        <v>2</v>
      </c>
      <c r="G19" s="2" t="s">
        <v>72</v>
      </c>
      <c r="H19" s="27">
        <v>46128</v>
      </c>
      <c r="I19" s="1">
        <v>2.5</v>
      </c>
      <c r="J19" s="1">
        <v>1</v>
      </c>
      <c r="K19" s="1">
        <v>1</v>
      </c>
      <c r="L19" s="1">
        <v>1</v>
      </c>
      <c r="M19" s="1">
        <v>1</v>
      </c>
      <c r="N19" s="22">
        <v>1</v>
      </c>
      <c r="O19" s="1">
        <v>0</v>
      </c>
      <c r="P19" s="1">
        <v>1</v>
      </c>
      <c r="Q19" s="22">
        <v>1</v>
      </c>
      <c r="R19" s="22">
        <v>1</v>
      </c>
      <c r="S19" s="1">
        <v>0</v>
      </c>
      <c r="T19" s="1">
        <v>1</v>
      </c>
      <c r="U19" s="22">
        <v>1</v>
      </c>
      <c r="V19" s="1">
        <v>1</v>
      </c>
      <c r="W19" s="22">
        <v>0</v>
      </c>
      <c r="X19" s="22">
        <v>0</v>
      </c>
      <c r="Y19" s="22">
        <v>1</v>
      </c>
      <c r="Z19" s="1">
        <f t="shared" si="4"/>
        <v>5</v>
      </c>
      <c r="AA19" s="1">
        <f t="shared" si="5"/>
        <v>4</v>
      </c>
      <c r="AB19" s="1">
        <f t="shared" si="6"/>
        <v>3</v>
      </c>
      <c r="AC19" s="1">
        <f t="shared" si="7"/>
        <v>12</v>
      </c>
      <c r="AD19" s="1">
        <f t="shared" si="8"/>
        <v>4.166666666666667</v>
      </c>
      <c r="AE19" s="1">
        <f t="shared" si="9"/>
        <v>4</v>
      </c>
      <c r="AF19" s="1">
        <f t="shared" si="10"/>
        <v>3</v>
      </c>
      <c r="AG19" s="1">
        <f t="shared" si="11"/>
        <v>3.7222222222222228</v>
      </c>
    </row>
    <row r="20" spans="1:34">
      <c r="A20" s="1" t="s">
        <v>66</v>
      </c>
      <c r="B20" s="15" t="s">
        <v>73</v>
      </c>
      <c r="C20" s="15">
        <v>11</v>
      </c>
      <c r="D20" s="15">
        <v>0</v>
      </c>
      <c r="E20" s="15">
        <v>0</v>
      </c>
      <c r="F20" s="15">
        <v>1</v>
      </c>
      <c r="G20" s="2" t="s">
        <v>53</v>
      </c>
      <c r="H20" s="27">
        <v>46128</v>
      </c>
      <c r="I20" s="1">
        <v>0.5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22">
        <v>1</v>
      </c>
      <c r="Z20" s="1">
        <f t="shared" si="4"/>
        <v>1</v>
      </c>
      <c r="AA20" s="1">
        <f t="shared" si="5"/>
        <v>1</v>
      </c>
      <c r="AB20" s="1">
        <f t="shared" si="6"/>
        <v>2</v>
      </c>
      <c r="AC20" s="1">
        <f t="shared" si="7"/>
        <v>4</v>
      </c>
      <c r="AD20" s="1">
        <f t="shared" si="8"/>
        <v>0.83333333333333326</v>
      </c>
      <c r="AE20" s="1">
        <f t="shared" si="9"/>
        <v>1</v>
      </c>
      <c r="AF20" s="1">
        <f t="shared" si="10"/>
        <v>2</v>
      </c>
      <c r="AG20" s="1">
        <f t="shared" si="11"/>
        <v>1.2777777777777777</v>
      </c>
    </row>
    <row r="21" spans="1:34">
      <c r="A21" s="1" t="s">
        <v>66</v>
      </c>
      <c r="B21" s="15" t="s">
        <v>74</v>
      </c>
      <c r="C21" s="15">
        <v>7</v>
      </c>
      <c r="D21" s="15">
        <v>0</v>
      </c>
      <c r="E21" s="15">
        <v>0</v>
      </c>
      <c r="F21" s="15">
        <v>1</v>
      </c>
      <c r="G21" s="2" t="s">
        <v>41</v>
      </c>
      <c r="H21" s="27">
        <v>46128</v>
      </c>
      <c r="I21" s="1">
        <v>0.5</v>
      </c>
      <c r="J21" s="1">
        <v>1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22">
        <v>0</v>
      </c>
      <c r="Z21" s="1">
        <f t="shared" si="4"/>
        <v>2</v>
      </c>
      <c r="AA21" s="1">
        <f t="shared" si="5"/>
        <v>1</v>
      </c>
      <c r="AB21" s="1">
        <f t="shared" si="6"/>
        <v>1</v>
      </c>
      <c r="AC21" s="1">
        <f t="shared" si="7"/>
        <v>4</v>
      </c>
      <c r="AD21" s="1">
        <f t="shared" si="8"/>
        <v>1.6666666666666665</v>
      </c>
      <c r="AE21" s="1">
        <f t="shared" si="9"/>
        <v>1</v>
      </c>
      <c r="AF21" s="1">
        <f t="shared" si="10"/>
        <v>1</v>
      </c>
      <c r="AG21" s="1">
        <f t="shared" si="11"/>
        <v>1.2222222222222221</v>
      </c>
    </row>
    <row r="22" spans="1:34">
      <c r="A22" s="1" t="s">
        <v>66</v>
      </c>
      <c r="B22" s="15" t="s">
        <v>75</v>
      </c>
      <c r="C22" s="15">
        <v>19</v>
      </c>
      <c r="D22" s="15">
        <v>0</v>
      </c>
      <c r="E22" s="15">
        <v>0</v>
      </c>
      <c r="F22" s="15">
        <v>1</v>
      </c>
      <c r="G22" s="2" t="s">
        <v>53</v>
      </c>
      <c r="H22" s="27">
        <v>46128</v>
      </c>
      <c r="I22" s="1">
        <v>0.5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22">
        <v>1</v>
      </c>
      <c r="Z22" s="1">
        <f t="shared" ref="Z22:Z24" si="12">SUM(J22:O22)</f>
        <v>1</v>
      </c>
      <c r="AA22" s="1">
        <f t="shared" ref="AA22" si="13">SUM(P22:T22)</f>
        <v>1</v>
      </c>
      <c r="AB22" s="1">
        <f t="shared" ref="AB22:AB26" si="14">SUM(U22:Y22)</f>
        <v>2</v>
      </c>
      <c r="AC22" s="1">
        <f t="shared" ref="AC22:AC26" si="15">SUM(Z22:AB22)</f>
        <v>4</v>
      </c>
      <c r="AD22" s="1">
        <f>Z22/6*5</f>
        <v>0.83333333333333326</v>
      </c>
      <c r="AE22" s="1">
        <f>AA22/5*5</f>
        <v>1</v>
      </c>
      <c r="AF22" s="1">
        <f xml:space="preserve"> AB22/5*5</f>
        <v>2</v>
      </c>
      <c r="AG22" s="1">
        <f>SUM(AD22:AF22)/3</f>
        <v>1.2777777777777777</v>
      </c>
    </row>
    <row r="23" spans="1:34">
      <c r="A23" s="1" t="s">
        <v>66</v>
      </c>
      <c r="B23" s="15" t="s">
        <v>76</v>
      </c>
      <c r="C23" s="15">
        <v>5</v>
      </c>
      <c r="D23" s="15">
        <v>1</v>
      </c>
      <c r="E23" s="15">
        <v>0</v>
      </c>
      <c r="F23" s="15">
        <v>2</v>
      </c>
      <c r="G23" s="2" t="s">
        <v>53</v>
      </c>
      <c r="H23" s="27">
        <v>46129</v>
      </c>
      <c r="I23" s="1">
        <v>2</v>
      </c>
      <c r="J23" s="1">
        <v>1</v>
      </c>
      <c r="K23" s="1">
        <v>1</v>
      </c>
      <c r="L23" s="1">
        <v>1</v>
      </c>
      <c r="M23" s="1">
        <v>0</v>
      </c>
      <c r="N23" s="1">
        <v>1</v>
      </c>
      <c r="O23" s="1">
        <v>1</v>
      </c>
      <c r="P23" s="1">
        <v>0</v>
      </c>
      <c r="Q23" s="1">
        <v>1</v>
      </c>
      <c r="R23" s="1">
        <v>1</v>
      </c>
      <c r="S23" s="1">
        <v>0</v>
      </c>
      <c r="T23" s="1">
        <v>0</v>
      </c>
      <c r="U23" s="1">
        <v>1</v>
      </c>
      <c r="V23" s="1">
        <v>1</v>
      </c>
      <c r="W23" s="1">
        <v>0</v>
      </c>
      <c r="X23" s="1">
        <v>1</v>
      </c>
      <c r="Y23" s="22">
        <v>0</v>
      </c>
      <c r="Z23" s="1">
        <f t="shared" si="12"/>
        <v>5</v>
      </c>
      <c r="AA23" s="1">
        <f>SUM(P23:T23)</f>
        <v>2</v>
      </c>
      <c r="AB23" s="1">
        <f t="shared" si="14"/>
        <v>3</v>
      </c>
      <c r="AC23" s="1">
        <f t="shared" si="15"/>
        <v>10</v>
      </c>
      <c r="AD23" s="1">
        <f>Z23/6*5</f>
        <v>4.166666666666667</v>
      </c>
      <c r="AE23" s="1">
        <f>AA23/5*5</f>
        <v>2</v>
      </c>
      <c r="AF23" s="1">
        <f xml:space="preserve"> AB23/5*5</f>
        <v>3</v>
      </c>
      <c r="AG23" s="1">
        <f>SUM(AD23:AF23)/3</f>
        <v>3.0555555555555558</v>
      </c>
    </row>
    <row r="24" spans="1:34">
      <c r="A24" s="1" t="s">
        <v>66</v>
      </c>
      <c r="B24" s="15" t="s">
        <v>77</v>
      </c>
      <c r="C24" s="15">
        <v>25</v>
      </c>
      <c r="D24" s="15">
        <v>1</v>
      </c>
      <c r="E24" s="15">
        <v>0</v>
      </c>
      <c r="F24" s="15">
        <v>2</v>
      </c>
      <c r="G24" s="2" t="s">
        <v>53</v>
      </c>
      <c r="H24" s="27">
        <v>46129</v>
      </c>
      <c r="I24" s="1">
        <v>2</v>
      </c>
      <c r="J24" s="1">
        <v>1</v>
      </c>
      <c r="K24" s="1">
        <v>1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1</v>
      </c>
      <c r="V24" s="1">
        <v>1</v>
      </c>
      <c r="W24" s="1">
        <v>0</v>
      </c>
      <c r="X24" s="1">
        <v>1</v>
      </c>
      <c r="Y24" s="22">
        <v>0</v>
      </c>
      <c r="Z24" s="1">
        <f t="shared" si="12"/>
        <v>3</v>
      </c>
      <c r="AA24" s="1">
        <f>SUM(P24:T24)</f>
        <v>1</v>
      </c>
      <c r="AB24" s="1">
        <f t="shared" si="14"/>
        <v>3</v>
      </c>
      <c r="AC24" s="1">
        <f t="shared" si="15"/>
        <v>7</v>
      </c>
      <c r="AD24" s="1">
        <f>Z24/6*5</f>
        <v>2.5</v>
      </c>
      <c r="AE24" s="1">
        <f>AA24/5*5</f>
        <v>1</v>
      </c>
      <c r="AF24" s="1">
        <f xml:space="preserve"> AB24/5*5</f>
        <v>3</v>
      </c>
      <c r="AG24" s="1">
        <f>SUM(AD24:AF24)/3</f>
        <v>2.1666666666666665</v>
      </c>
    </row>
    <row r="25" spans="1:34">
      <c r="A25" s="1" t="s">
        <v>66</v>
      </c>
      <c r="B25" s="15" t="s">
        <v>78</v>
      </c>
      <c r="C25" s="15">
        <v>27</v>
      </c>
      <c r="D25" s="15">
        <v>1</v>
      </c>
      <c r="E25" s="15">
        <v>0</v>
      </c>
      <c r="F25" s="15">
        <v>2</v>
      </c>
      <c r="G25" s="2" t="s">
        <v>53</v>
      </c>
      <c r="H25" s="27">
        <v>46129</v>
      </c>
      <c r="I25" s="1">
        <v>2.5</v>
      </c>
      <c r="J25" s="1">
        <v>1</v>
      </c>
      <c r="K25" s="1">
        <v>1</v>
      </c>
      <c r="L25" s="1">
        <v>1</v>
      </c>
      <c r="M25" s="1">
        <v>0</v>
      </c>
      <c r="N25" s="1">
        <v>1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0</v>
      </c>
      <c r="U25" s="1">
        <v>1</v>
      </c>
      <c r="V25" s="1">
        <v>1</v>
      </c>
      <c r="W25" s="1">
        <v>0</v>
      </c>
      <c r="X25" s="1">
        <v>0</v>
      </c>
      <c r="Y25" s="22">
        <v>0</v>
      </c>
      <c r="Z25" s="1">
        <f t="shared" ref="Z25:Z26" si="16">SUM(J25:O25)</f>
        <v>4</v>
      </c>
      <c r="AA25" s="1">
        <f t="shared" ref="AA25:AA26" si="17">SUM(P25:T25)</f>
        <v>2</v>
      </c>
      <c r="AB25" s="1">
        <f t="shared" si="14"/>
        <v>2</v>
      </c>
      <c r="AC25" s="1">
        <f t="shared" si="15"/>
        <v>8</v>
      </c>
      <c r="AD25" s="1">
        <f>Z25/6*5</f>
        <v>3.333333333333333</v>
      </c>
      <c r="AE25" s="1">
        <f>AA25/5*5</f>
        <v>2</v>
      </c>
      <c r="AF25" s="1">
        <f xml:space="preserve"> AB25/5*5</f>
        <v>2</v>
      </c>
      <c r="AG25" s="1">
        <f>SUM(AD25:AF25)/3</f>
        <v>2.4444444444444442</v>
      </c>
    </row>
    <row r="26" spans="1:34">
      <c r="A26" s="1" t="s">
        <v>66</v>
      </c>
      <c r="B26" s="15" t="s">
        <v>79</v>
      </c>
      <c r="C26" s="15">
        <v>26</v>
      </c>
      <c r="D26" s="15">
        <v>1</v>
      </c>
      <c r="E26" s="15">
        <v>0</v>
      </c>
      <c r="F26" s="15">
        <v>2</v>
      </c>
      <c r="G26" s="2" t="s">
        <v>80</v>
      </c>
      <c r="H26" s="27">
        <v>46129</v>
      </c>
      <c r="I26" s="1">
        <v>1.5</v>
      </c>
      <c r="J26" s="1">
        <v>1</v>
      </c>
      <c r="K26" s="1">
        <v>1</v>
      </c>
      <c r="L26" s="1">
        <v>0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 s="1">
        <v>1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1</v>
      </c>
      <c r="Y26" s="22">
        <v>1</v>
      </c>
      <c r="Z26" s="1">
        <f t="shared" si="16"/>
        <v>5</v>
      </c>
      <c r="AA26" s="1">
        <f t="shared" si="17"/>
        <v>1</v>
      </c>
      <c r="AB26" s="1">
        <f t="shared" si="14"/>
        <v>3</v>
      </c>
      <c r="AC26" s="1">
        <f t="shared" si="15"/>
        <v>9</v>
      </c>
      <c r="AD26" s="1">
        <f>Z26/6*5</f>
        <v>4.166666666666667</v>
      </c>
      <c r="AE26" s="1">
        <f>AA26/5*5</f>
        <v>1</v>
      </c>
      <c r="AF26" s="1">
        <f xml:space="preserve"> AB26/5*5</f>
        <v>3</v>
      </c>
      <c r="AG26" s="1">
        <f>SUM(AD26:AF26)/3</f>
        <v>2.7222222222222228</v>
      </c>
    </row>
    <row r="27" spans="1:34">
      <c r="A27" s="1" t="s">
        <v>66</v>
      </c>
      <c r="B27" s="15" t="s">
        <v>81</v>
      </c>
      <c r="C27" s="15" t="s">
        <v>82</v>
      </c>
      <c r="D27" s="15">
        <v>1</v>
      </c>
      <c r="E27" s="15">
        <v>0</v>
      </c>
      <c r="F27" s="15">
        <v>2</v>
      </c>
      <c r="G27" s="2" t="s">
        <v>53</v>
      </c>
      <c r="H27" s="27">
        <v>46140</v>
      </c>
      <c r="I27" s="1">
        <v>3</v>
      </c>
      <c r="J27" s="1">
        <v>1</v>
      </c>
      <c r="K27" s="1">
        <v>1</v>
      </c>
      <c r="L27" s="1">
        <v>1</v>
      </c>
      <c r="M27" s="1">
        <v>0</v>
      </c>
      <c r="N27" s="1">
        <v>1</v>
      </c>
      <c r="O27" s="1">
        <v>1</v>
      </c>
      <c r="P27" s="1">
        <v>0</v>
      </c>
      <c r="Q27" s="1">
        <v>0</v>
      </c>
      <c r="R27" s="1">
        <v>1</v>
      </c>
      <c r="S27" s="1">
        <v>0</v>
      </c>
      <c r="T27" s="1">
        <v>1</v>
      </c>
      <c r="U27" s="1">
        <v>1</v>
      </c>
      <c r="V27" s="1">
        <v>1</v>
      </c>
      <c r="W27" s="1">
        <v>0</v>
      </c>
      <c r="X27" s="1">
        <v>0</v>
      </c>
      <c r="Y27" s="22">
        <v>0</v>
      </c>
      <c r="Z27" s="1">
        <f t="shared" ref="Z27:Z32" si="18">SUM(J27:O27)</f>
        <v>5</v>
      </c>
      <c r="AA27" s="1">
        <f t="shared" ref="AA27:AA32" si="19">SUM(P27:T27)</f>
        <v>2</v>
      </c>
      <c r="AB27" s="1">
        <f t="shared" ref="AB27:AB32" si="20">SUM(U27:Y27)</f>
        <v>2</v>
      </c>
      <c r="AC27" s="1">
        <f t="shared" ref="AC27:AC32" si="21">SUM(Z27:AB27)</f>
        <v>9</v>
      </c>
      <c r="AD27" s="1">
        <f t="shared" ref="AD27:AD32" si="22">Z27/6*5</f>
        <v>4.166666666666667</v>
      </c>
      <c r="AE27" s="1">
        <f t="shared" ref="AE27:AE32" si="23">AA27/5*5</f>
        <v>2</v>
      </c>
      <c r="AF27" s="1">
        <f t="shared" ref="AF27:AF32" si="24" xml:space="preserve"> AB27/5*5</f>
        <v>2</v>
      </c>
      <c r="AG27" s="1">
        <f t="shared" ref="AG27:AG32" si="25">SUM(AD27:AF27)/3</f>
        <v>2.7222222222222228</v>
      </c>
    </row>
    <row r="28" spans="1:34">
      <c r="A28" s="1" t="s">
        <v>66</v>
      </c>
      <c r="B28" s="15" t="s">
        <v>83</v>
      </c>
      <c r="C28" s="15" t="s">
        <v>84</v>
      </c>
      <c r="D28" s="15">
        <v>0</v>
      </c>
      <c r="E28" s="15">
        <v>0</v>
      </c>
      <c r="F28" s="15">
        <v>1</v>
      </c>
      <c r="G28" s="2" t="s">
        <v>53</v>
      </c>
      <c r="H28" s="27">
        <v>46140</v>
      </c>
      <c r="I28" s="1">
        <v>0.5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22">
        <v>0</v>
      </c>
      <c r="Z28" s="1">
        <f t="shared" si="18"/>
        <v>1</v>
      </c>
      <c r="AA28" s="1">
        <f t="shared" si="19"/>
        <v>1</v>
      </c>
      <c r="AB28" s="1">
        <f t="shared" si="20"/>
        <v>1</v>
      </c>
      <c r="AC28" s="1">
        <f t="shared" si="21"/>
        <v>3</v>
      </c>
      <c r="AD28" s="1">
        <f t="shared" si="22"/>
        <v>0.83333333333333326</v>
      </c>
      <c r="AE28" s="1">
        <f t="shared" si="23"/>
        <v>1</v>
      </c>
      <c r="AF28" s="1">
        <f t="shared" si="24"/>
        <v>1</v>
      </c>
      <c r="AG28" s="1">
        <f t="shared" si="25"/>
        <v>0.94444444444444431</v>
      </c>
    </row>
    <row r="29" spans="1:34">
      <c r="A29" s="1" t="s">
        <v>66</v>
      </c>
      <c r="B29" s="15" t="s">
        <v>85</v>
      </c>
      <c r="C29" s="15" t="s">
        <v>86</v>
      </c>
      <c r="D29" s="15">
        <v>1</v>
      </c>
      <c r="E29" s="15">
        <v>0</v>
      </c>
      <c r="F29" s="15">
        <v>2</v>
      </c>
      <c r="G29" s="2" t="s">
        <v>41</v>
      </c>
      <c r="H29" s="27">
        <v>46140</v>
      </c>
      <c r="I29" s="1">
        <v>2.5</v>
      </c>
      <c r="J29" s="1">
        <v>1</v>
      </c>
      <c r="K29" s="1">
        <v>1</v>
      </c>
      <c r="L29" s="1">
        <v>1</v>
      </c>
      <c r="M29" s="1">
        <v>0</v>
      </c>
      <c r="N29" s="1">
        <v>1</v>
      </c>
      <c r="O29" s="1">
        <v>1</v>
      </c>
      <c r="P29" s="1">
        <v>0</v>
      </c>
      <c r="Q29" s="1">
        <v>0</v>
      </c>
      <c r="R29" s="1">
        <v>1</v>
      </c>
      <c r="S29" s="1">
        <v>0</v>
      </c>
      <c r="T29" s="1">
        <v>0</v>
      </c>
      <c r="U29" s="1">
        <v>1</v>
      </c>
      <c r="V29" s="1">
        <v>1</v>
      </c>
      <c r="W29" s="1">
        <v>0</v>
      </c>
      <c r="X29" s="1">
        <v>0</v>
      </c>
      <c r="Y29" s="22">
        <v>0</v>
      </c>
      <c r="Z29" s="1">
        <f t="shared" si="18"/>
        <v>5</v>
      </c>
      <c r="AA29" s="1">
        <f t="shared" si="19"/>
        <v>1</v>
      </c>
      <c r="AB29" s="1">
        <f t="shared" si="20"/>
        <v>2</v>
      </c>
      <c r="AC29" s="1">
        <f t="shared" si="21"/>
        <v>8</v>
      </c>
      <c r="AD29" s="1">
        <f t="shared" si="22"/>
        <v>4.166666666666667</v>
      </c>
      <c r="AE29" s="1">
        <f t="shared" si="23"/>
        <v>1</v>
      </c>
      <c r="AF29" s="1">
        <f t="shared" si="24"/>
        <v>2</v>
      </c>
      <c r="AG29" s="1">
        <f t="shared" si="25"/>
        <v>2.3888888888888888</v>
      </c>
    </row>
    <row r="30" spans="1:34">
      <c r="A30" s="1" t="s">
        <v>66</v>
      </c>
      <c r="B30" s="15" t="s">
        <v>87</v>
      </c>
      <c r="C30" s="15" t="s">
        <v>88</v>
      </c>
      <c r="D30" s="15">
        <v>1</v>
      </c>
      <c r="E30" s="15">
        <v>0</v>
      </c>
      <c r="F30" s="15">
        <v>2</v>
      </c>
      <c r="G30" s="2" t="s">
        <v>53</v>
      </c>
      <c r="H30" s="27">
        <v>46140</v>
      </c>
      <c r="I30" s="1">
        <v>2.5</v>
      </c>
      <c r="J30" s="1">
        <v>1</v>
      </c>
      <c r="K30" s="1">
        <v>1</v>
      </c>
      <c r="L30" s="1">
        <v>1</v>
      </c>
      <c r="M30" s="1">
        <v>0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0</v>
      </c>
      <c r="X30" s="1">
        <v>0</v>
      </c>
      <c r="Y30" s="22">
        <v>1</v>
      </c>
      <c r="Z30" s="1">
        <f t="shared" si="18"/>
        <v>5</v>
      </c>
      <c r="AA30" s="1">
        <f t="shared" si="19"/>
        <v>1</v>
      </c>
      <c r="AB30" s="1">
        <f t="shared" si="20"/>
        <v>2</v>
      </c>
      <c r="AC30" s="1">
        <f t="shared" si="21"/>
        <v>8</v>
      </c>
      <c r="AD30" s="1">
        <f t="shared" si="22"/>
        <v>4.166666666666667</v>
      </c>
      <c r="AE30" s="1">
        <f t="shared" si="23"/>
        <v>1</v>
      </c>
      <c r="AF30" s="1">
        <f t="shared" si="24"/>
        <v>2</v>
      </c>
      <c r="AG30" s="1">
        <f t="shared" si="25"/>
        <v>2.3888888888888888</v>
      </c>
    </row>
    <row r="31" spans="1:34">
      <c r="A31" s="1" t="s">
        <v>42</v>
      </c>
      <c r="B31" s="15" t="s">
        <v>89</v>
      </c>
      <c r="C31" s="15" t="s">
        <v>90</v>
      </c>
      <c r="D31" s="15">
        <v>1</v>
      </c>
      <c r="E31" s="15">
        <v>0</v>
      </c>
      <c r="F31" s="15">
        <v>2</v>
      </c>
      <c r="G31" s="2" t="s">
        <v>53</v>
      </c>
      <c r="H31" s="27">
        <v>46140</v>
      </c>
      <c r="I31" s="1">
        <v>3.5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0</v>
      </c>
      <c r="Q31" s="1">
        <v>1</v>
      </c>
      <c r="R31" s="1">
        <v>1</v>
      </c>
      <c r="S31" s="1">
        <v>0</v>
      </c>
      <c r="T31" s="1">
        <v>1</v>
      </c>
      <c r="U31" s="1">
        <v>1</v>
      </c>
      <c r="V31" s="1">
        <v>1</v>
      </c>
      <c r="W31" s="1">
        <v>0</v>
      </c>
      <c r="X31" s="1">
        <v>0</v>
      </c>
      <c r="Y31" s="22">
        <v>0</v>
      </c>
      <c r="Z31" s="1">
        <f t="shared" si="18"/>
        <v>6</v>
      </c>
      <c r="AA31" s="1">
        <f t="shared" si="19"/>
        <v>3</v>
      </c>
      <c r="AB31" s="1">
        <f t="shared" si="20"/>
        <v>2</v>
      </c>
      <c r="AC31" s="1">
        <f t="shared" si="21"/>
        <v>11</v>
      </c>
      <c r="AD31" s="1">
        <f t="shared" si="22"/>
        <v>5</v>
      </c>
      <c r="AE31" s="1">
        <f t="shared" si="23"/>
        <v>3</v>
      </c>
      <c r="AF31" s="1">
        <f t="shared" si="24"/>
        <v>2</v>
      </c>
      <c r="AG31" s="1">
        <f t="shared" si="25"/>
        <v>3.3333333333333335</v>
      </c>
    </row>
    <row r="32" spans="1:34">
      <c r="A32" s="1" t="s">
        <v>42</v>
      </c>
      <c r="B32" s="15" t="s">
        <v>91</v>
      </c>
      <c r="C32" s="15" t="s">
        <v>92</v>
      </c>
      <c r="D32" s="15">
        <v>0</v>
      </c>
      <c r="E32" s="15">
        <v>0</v>
      </c>
      <c r="F32" s="15">
        <v>1</v>
      </c>
      <c r="G32" s="2" t="s">
        <v>53</v>
      </c>
      <c r="H32" s="27">
        <v>46140</v>
      </c>
      <c r="I32" s="1">
        <v>0.5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1</v>
      </c>
      <c r="Y32" s="22">
        <v>0</v>
      </c>
      <c r="Z32" s="1">
        <f t="shared" si="18"/>
        <v>1</v>
      </c>
      <c r="AA32" s="1">
        <f t="shared" si="19"/>
        <v>1</v>
      </c>
      <c r="AB32" s="1">
        <f t="shared" si="20"/>
        <v>2</v>
      </c>
      <c r="AC32" s="1">
        <f t="shared" si="21"/>
        <v>4</v>
      </c>
      <c r="AD32" s="1">
        <f t="shared" si="22"/>
        <v>0.83333333333333326</v>
      </c>
      <c r="AE32" s="1">
        <f t="shared" si="23"/>
        <v>1</v>
      </c>
      <c r="AF32" s="1">
        <f t="shared" si="24"/>
        <v>2</v>
      </c>
      <c r="AG32" s="1">
        <f t="shared" si="25"/>
        <v>1.2777777777777777</v>
      </c>
    </row>
    <row r="33" spans="3:3">
      <c r="C33" s="15"/>
    </row>
    <row r="34" spans="3:3">
      <c r="C34" s="15"/>
    </row>
    <row r="35" spans="3:3">
      <c r="C35" s="15"/>
    </row>
    <row r="36" spans="3:3">
      <c r="C36" s="15"/>
    </row>
    <row r="37" spans="3:3">
      <c r="C37" s="15"/>
    </row>
    <row r="38" spans="3:3">
      <c r="C38" s="15"/>
    </row>
    <row r="39" spans="3:3">
      <c r="C39" s="15"/>
    </row>
    <row r="40" spans="3:3">
      <c r="C40" s="15"/>
    </row>
    <row r="41" spans="3:3">
      <c r="C41" s="15"/>
    </row>
    <row r="42" spans="3:3">
      <c r="C42" s="15"/>
    </row>
    <row r="43" spans="3:3">
      <c r="C43" s="15"/>
    </row>
    <row r="44" spans="3:3">
      <c r="C44" s="15"/>
    </row>
    <row r="45" spans="3:3">
      <c r="C45" s="15"/>
    </row>
    <row r="46" spans="3:3">
      <c r="C46" s="15"/>
    </row>
    <row r="47" spans="3:3">
      <c r="C47" s="15"/>
    </row>
    <row r="48" spans="3:3">
      <c r="C48" s="15"/>
    </row>
    <row r="49" spans="3:3">
      <c r="C49" s="15"/>
    </row>
    <row r="50" spans="3:3">
      <c r="C50" s="15"/>
    </row>
    <row r="51" spans="3:3">
      <c r="C51" s="15"/>
    </row>
    <row r="52" spans="3:3">
      <c r="C52" s="15"/>
    </row>
    <row r="53" spans="3:3">
      <c r="C53" s="15"/>
    </row>
    <row r="54" spans="3:3">
      <c r="C54" s="15"/>
    </row>
    <row r="55" spans="3:3">
      <c r="C55" s="15"/>
    </row>
    <row r="56" spans="3:3">
      <c r="C56" s="15"/>
    </row>
    <row r="57" spans="3:3"/>
    <row r="58" spans="3:3"/>
  </sheetData>
  <mergeCells count="3">
    <mergeCell ref="J1:O1"/>
    <mergeCell ref="P1:T1"/>
    <mergeCell ref="U1:Y1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DF9C-6DCA-4063-8046-A184A27D5A8A}">
  <dimension ref="A1:AI1"/>
  <sheetViews>
    <sheetView workbookViewId="0">
      <selection activeCell="G15" sqref="G15"/>
    </sheetView>
  </sheetViews>
  <sheetFormatPr defaultRowHeight="15"/>
  <sheetData>
    <row r="1" spans="1:35">
      <c r="A1" s="1" t="s">
        <v>42</v>
      </c>
      <c r="B1" s="15" t="s">
        <v>45</v>
      </c>
      <c r="C1" s="15">
        <v>11</v>
      </c>
      <c r="D1" s="15">
        <v>1</v>
      </c>
      <c r="E1" s="15">
        <v>1</v>
      </c>
      <c r="F1" s="15">
        <v>1</v>
      </c>
      <c r="G1" s="2" t="s">
        <v>41</v>
      </c>
      <c r="H1" s="27">
        <v>46126</v>
      </c>
      <c r="I1" s="1">
        <v>1.5</v>
      </c>
      <c r="J1" s="1">
        <v>1</v>
      </c>
      <c r="K1" s="1">
        <v>1</v>
      </c>
      <c r="L1" s="1">
        <v>1</v>
      </c>
      <c r="M1" s="1">
        <v>0</v>
      </c>
      <c r="N1" s="1">
        <v>1</v>
      </c>
      <c r="O1" s="1">
        <v>0</v>
      </c>
      <c r="P1" s="1">
        <v>0</v>
      </c>
      <c r="Q1" s="1">
        <v>1</v>
      </c>
      <c r="R1" s="22">
        <v>1</v>
      </c>
      <c r="S1" s="1">
        <v>0</v>
      </c>
      <c r="T1" s="1">
        <v>0</v>
      </c>
      <c r="U1" s="1">
        <v>0</v>
      </c>
      <c r="V1" s="1">
        <v>1</v>
      </c>
      <c r="W1" s="1">
        <v>0</v>
      </c>
      <c r="X1" s="22">
        <v>0</v>
      </c>
      <c r="Y1" s="22">
        <v>0</v>
      </c>
      <c r="Z1" s="1">
        <f>SUM(J1:O1)</f>
        <v>4</v>
      </c>
      <c r="AA1" s="1">
        <f>SUM(P1:T1)</f>
        <v>2</v>
      </c>
      <c r="AB1" s="1">
        <f>SUM(U1:Y1)</f>
        <v>1</v>
      </c>
      <c r="AC1" s="1">
        <f>SUM(Z1:AB1)</f>
        <v>7</v>
      </c>
      <c r="AD1" s="1">
        <f>Z1/6*5</f>
        <v>3.333333333333333</v>
      </c>
      <c r="AE1" s="1">
        <f>AA1/5*5</f>
        <v>2</v>
      </c>
      <c r="AF1" s="1">
        <f xml:space="preserve"> AB1/5*5</f>
        <v>1</v>
      </c>
      <c r="AG1" s="1">
        <f>SUM(AD1:AF1)/3</f>
        <v>2.1111111111111112</v>
      </c>
      <c r="AH1" s="1" t="s">
        <v>93</v>
      </c>
      <c r="AI1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278717-252d-455f-9297-341259384352">
      <Terms xmlns="http://schemas.microsoft.com/office/infopath/2007/PartnerControls"/>
    </lcf76f155ced4ddcb4097134ff3c332f>
    <TaxCatchAll xmlns="67fd2e6b-9b4b-488b-ae5d-884371a2c3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8E057C991C64EA8C44B2688F4F4E8" ma:contentTypeVersion="10" ma:contentTypeDescription="Crée un document." ma:contentTypeScope="" ma:versionID="205ac32a36de600e2ab9bca4f1502e82">
  <xsd:schema xmlns:xsd="http://www.w3.org/2001/XMLSchema" xmlns:xs="http://www.w3.org/2001/XMLSchema" xmlns:p="http://schemas.microsoft.com/office/2006/metadata/properties" xmlns:ns2="b0278717-252d-455f-9297-341259384352" xmlns:ns3="67fd2e6b-9b4b-488b-ae5d-884371a2c380" targetNamespace="http://schemas.microsoft.com/office/2006/metadata/properties" ma:root="true" ma:fieldsID="423e538afa53ae88b73bb7a22e6ab62a" ns2:_="" ns3:_="">
    <xsd:import namespace="b0278717-252d-455f-9297-341259384352"/>
    <xsd:import namespace="67fd2e6b-9b4b-488b-ae5d-884371a2c3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78717-252d-455f-9297-341259384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92e9244-4a4f-438c-9023-5bd3b64bf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d2e6b-9b4b-488b-ae5d-884371a2c3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adbaf4-2676-4a07-87ea-a47db9bf60cc}" ma:internalName="TaxCatchAll" ma:showField="CatchAllData" ma:web="67fd2e6b-9b4b-488b-ae5d-884371a2c3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E1DA6F-9828-4C90-B1DD-F6C5DDCFA33D}"/>
</file>

<file path=customXml/itemProps2.xml><?xml version="1.0" encoding="utf-8"?>
<ds:datastoreItem xmlns:ds="http://schemas.openxmlformats.org/officeDocument/2006/customXml" ds:itemID="{32CEAB00-EB88-42CB-8573-B14217434AB6}"/>
</file>

<file path=customXml/itemProps3.xml><?xml version="1.0" encoding="utf-8"?>
<ds:datastoreItem xmlns:ds="http://schemas.openxmlformats.org/officeDocument/2006/customXml" ds:itemID="{E5E6D151-5FDE-4AAE-92E5-7A931745F4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ESPIN I MARTI</dc:creator>
  <cp:keywords/>
  <dc:description/>
  <cp:lastModifiedBy/>
  <cp:revision/>
  <dcterms:created xsi:type="dcterms:W3CDTF">2026-02-18T12:47:19Z</dcterms:created>
  <dcterms:modified xsi:type="dcterms:W3CDTF">2026-04-29T07:45:11Z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0x0101006F98E057C991C64EA8C44B2688F4F4E8</vt:lpwstr>
  </property>
  <property fmtid="{D5CDD505-2E9C-101B-9397-08002B2CF9AE}" pid="3" name="MediaServiceImageTags">
    <vt:lpwstr/>
  </property>
</Properties>
</file>